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4CE686FB-5D76-4249-8EF1-D6C746A57A7F}" xr6:coauthVersionLast="47" xr6:coauthVersionMax="47" xr10:uidLastSave="{00000000-0000-0000-0000-000000000000}"/>
  <bookViews>
    <workbookView xWindow="5288" yWindow="3885" windowWidth="21600" windowHeight="11453" xr2:uid="{CD6C4A7D-3B40-40E9-A8D0-165517DBD9E3}"/>
  </bookViews>
  <sheets>
    <sheet name="Options" sheetId="2" r:id="rId1"/>
    <sheet name="Help" sheetId="3" r:id="rId2"/>
    <sheet name="License" sheetId="5" r:id="rId3"/>
  </sheets>
  <functionGroups builtInGroupCount="19"/>
  <definedNames>
    <definedName name="AddToExcel">Options!$C$60</definedName>
    <definedName name="CalcTestCaseResults">Options!$C$22</definedName>
    <definedName name="ForceStoreInMemoryForAddresses">Options!$C$42</definedName>
    <definedName name="InputFileAsLibrary">Options!$C$46</definedName>
    <definedName name="LangID">Options!$C$9</definedName>
    <definedName name="ReadFromXML">Options!$C$14</definedName>
    <definedName name="ReadWritePath">Options!$C$26</definedName>
    <definedName name="setLangName">Options!$C$7</definedName>
    <definedName name="ShortcutCalculations">Options!$C$38</definedName>
    <definedName name="StrictInputColor">Options!$C$80</definedName>
    <definedName name="StrictMode">Options!$C$76</definedName>
    <definedName name="StrictOutputColor">Options!$C$83</definedName>
    <definedName name="StrictTestCasesInputColor">Options!$C$86</definedName>
    <definedName name="TeraAddDebugSteps">Options!$C$101</definedName>
    <definedName name="TeraMinimalScript">Options!$C$97</definedName>
    <definedName name="TeraSchema">Options!$C$93</definedName>
    <definedName name="UseNamedRanges">Options!$C$54</definedName>
    <definedName name="XMLFileName">Options!$C$18</definedName>
    <definedName name="XMLFunctionLibraryPath">Options!$C$30</definedName>
    <definedName name="XMLTransformLibraryPath">Options!$C$34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 r="C9" i="2" s="1" a="1"/>
  <c r="C9" i="2" s="1"/>
  <c r="C14" i="2" l="1" a="1"/>
  <c r="C14" i="2" s="1"/>
  <c r="C60" i="2" a="1"/>
  <c r="C60"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<sst xmlns="http://schemas.openxmlformats.org/spreadsheetml/2006/main" count="157" uniqueCount="113">
  <si>
    <t>Purpose</t>
  </si>
  <si>
    <t>To Do:</t>
  </si>
  <si>
    <t>This macro translates Excel calculations into another programming language.</t>
  </si>
  <si>
    <t>do we want to add loops?</t>
  </si>
  <si>
    <t>General Settings</t>
  </si>
  <si>
    <t>Target Language</t>
  </si>
  <si>
    <t>Description</t>
  </si>
  <si>
    <t>What language do you want to translate into? (Default = VB - Simple)</t>
  </si>
  <si>
    <t>Edit</t>
  </si>
  <si>
    <t>VB - Simple</t>
  </si>
  <si>
    <t>Row</t>
  </si>
  <si>
    <t>Do Not Edit</t>
  </si>
  <si>
    <t>OptID</t>
  </si>
  <si>
    <t>Read From XML File</t>
  </si>
  <si>
    <t>Where do we find the logic to translate? (Default = 'Default')
True = from an XML file in the format this macro creates XML files;
False = get from Excel interactively asking the user for inputs and outputs;
Default = as defined by target's default (see reference table)</t>
  </si>
  <si>
    <t>Value</t>
  </si>
  <si>
    <t>XML File Name</t>
  </si>
  <si>
    <t>If Read From XML File = TRUE, what is the name of the XML file to read from? Note XML file must be saved in the ReadWrite directory. (Default = 'PlaceholderName' which will error. Must define custom name)</t>
  </si>
  <si>
    <t>PlaceholderName</t>
  </si>
  <si>
    <t>Test cases</t>
  </si>
  <si>
    <t>It's best practice to use test cases to validate that the calculations match the expected output. (Default = "Test cases, calculate &amp; compare outputs - automatic overwrite")</t>
  </si>
  <si>
    <t>No test cases</t>
  </si>
  <si>
    <t>Read / Write Path</t>
  </si>
  <si>
    <t>Full path of where to save files or use "Default" and path will be the subfolder named "SpreadsheetCoder" in the defined user profile directory.  The keyword "ThisPath" will use the path the workbook the macro is run from.  This is also the path used to read XML files from. (Default = 'Default')</t>
  </si>
  <si>
    <t>Default</t>
  </si>
  <si>
    <t>Force cell-level calcs to store results</t>
  </si>
  <si>
    <t>As part of compiling, SpreadsheetCoder makes decisions about when to store the results and when to calculate it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</si>
  <si>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</si>
  <si>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</si>
  <si>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</si>
  <si>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</si>
  <si>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</si>
  <si>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</si>
  <si>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</si>
  <si>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</si>
  <si>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</si>
  <si>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</si>
  <si>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</si>
  <si>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</si>
  <si>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What happens to genarated code? (Default = 'Default')
True = adds the code to a module VBA module of the same file so that the custom function can be called from within Excel (only applicable when target = VBA language; otherwise ignored);
False = saves the code to a file;
Default = as defined by target's default (see reference table)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</si>
  <si>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</si>
  <si>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</si>
  <si>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</si>
  <si>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</si>
  <si>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</si>
  <si>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</si>
  <si>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</si>
  <si>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</si>
  <si>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</si>
  <si>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</si>
  <si>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Strict mode forces a certain look with inputs, output and test case colors. The colors to the right are the colors for the specific defaults provided (6750207, 14121904, 6937599)</t>
  </si>
  <si>
    <t>TeraData</t>
  </si>
  <si>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</si>
  <si>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</si>
  <si>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abc</t>
  </si>
  <si>
    <t>License</t>
  </si>
  <si>
    <t>For license information, see tab 'License'</t>
  </si>
  <si>
    <t>Link to the current version</t>
  </si>
  <si>
    <t>For the most up to date information, including the most recent version of this program, see:</t>
  </si>
  <si>
    <t>https://github.com/mathMatthew/spreadsheetCoder/tree/main</t>
  </si>
  <si>
    <t>Basic instructions (a version copied below but see latest updates at link above). See additional information below.</t>
  </si>
  <si>
    <t>Which functions are supported.</t>
  </si>
  <si>
    <t>There are multiple ways that a function in excel can get coded into the target language.</t>
  </si>
  <si>
    <t>Direct support for the target language</t>
  </si>
  <si>
    <t>Breakapart support</t>
  </si>
  <si>
    <t>XMLLibrary support</t>
  </si>
  <si>
    <t>In File XML</t>
  </si>
  <si>
    <t>Option</t>
  </si>
  <si>
    <t>VB</t>
  </si>
  <si>
    <t>D_ReadFromFile</t>
  </si>
  <si>
    <t>OptionID</t>
  </si>
  <si>
    <t>Excel</t>
  </si>
  <si>
    <t>JS - Simple</t>
  </si>
  <si>
    <t>SQL - 2K</t>
  </si>
  <si>
    <t>SQL - Simple</t>
  </si>
  <si>
    <t>SQL - Tera - Function</t>
  </si>
  <si>
    <t>SQL - Tera - Proc</t>
  </si>
  <si>
    <t>SQL - Tera - Script</t>
  </si>
  <si>
    <t>VB - Complex</t>
  </si>
  <si>
    <t>XML</t>
  </si>
  <si>
    <t>Test Cases</t>
  </si>
  <si>
    <t>Test cases, inputs only</t>
  </si>
  <si>
    <t>Test cases, outputs already calculated</t>
  </si>
  <si>
    <t>Test cases, calculate outputs - target cells blank</t>
  </si>
  <si>
    <t>Test cases, calculate outputs - automatic overwrite</t>
  </si>
  <si>
    <t>Test cases, calculate &amp; compare outputs - automatic overwrite</t>
  </si>
  <si>
    <t>Use Named Ranges</t>
  </si>
  <si>
    <t>Don't Use</t>
  </si>
  <si>
    <t>Ask if found / ask to update</t>
  </si>
  <si>
    <t>Use if found</t>
  </si>
  <si>
    <t>Named Cells Only</t>
  </si>
  <si>
    <t>All Cells</t>
  </si>
  <si>
    <t>License is on github where the code is downloaded. This file/code is copyrighted and cannot be used without following the terms of the license. License is copied below but see official license where files/code is housed on github.</t>
  </si>
  <si>
    <t>Reference section</t>
  </si>
  <si>
    <t>These reference tables are used by the drop- above so that as a user, you only select options that the system knows what to do with.</t>
  </si>
  <si>
    <t>add formula based compiler switches?</t>
  </si>
  <si>
    <t>add logic to handle shortcuts</t>
  </si>
  <si>
    <t>XML Function Library path</t>
  </si>
  <si>
    <t xml:space="preserve">Full path of where to find the XML Function Library or use "Default" and path will be the subfolder "SpreadsheetCoder/XMLFunctions" in the defined user profile directory.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</si>
  <si>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</si>
  <si>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XML Transform Library path</t>
  </si>
  <si>
    <t xml:space="preserve">As part of compiling, SpreadsheetCoder looks for calculations that are not downstream of inputs. If a calculation is not downstream of an input it will convert the value to a constant if this setting is TRUE. Otherwise it will leave the logic as is. Default is TRUE; however, FALSE is required for some pattern matching in transformation. </t>
  </si>
  <si>
    <t>Shortcuts calculations to constants</t>
  </si>
  <si>
    <t>Strict mode forces you to follow best practices. Additionally, if you translate to VB Simple it will allow you to quickly view the calculations of your custom functions when you use them in Excel. Just press "ctrl+shift+D" (d for drill) on a cell with a custom function, and SpreadsheetCoder will take you to that function, showing the inputs used from the cell. "Ctrl-shift-R" (r for return) will return you where you were. Custom functions can be nested.</t>
  </si>
  <si>
    <t>TeraData: Minimal Script</t>
  </si>
  <si>
    <t>TeraData: Add debugging steps</t>
  </si>
  <si>
    <t>Default = TRUE</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</si>
  <si>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</si>
  <si>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</si>
  <si>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</si>
  <si>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Objects are prefixed with this name. Leave blank for no prefixing. (Default = abc)</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</si>
  <si>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</si>
  <si>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Adding debugging steps creates a new step between each step which updates a small table which tracks the last step succesfully executed.
(Default =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</si>
</sst>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theme="1"/>
      <name val="Consolas"/>
      <family val="3"/>
    </font>
    <font>
      <u/>
      <sz val="11"/>
      <color theme="10"/>
      <name val="Calibri"/>
      <family val="2"/>
      <scheme val="minor"/>
    </font>
    <font>
      <sz val="11"/>
      <color rgb="FF000000"/>
      <name val="Calibri"/>
      <family val="2"/>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3" fillId="0" borderId="0" xfId="0" applyFont="1"/>
    <xf numFmtId="0" fontId="0" fillId="3" borderId="0" xfId="0" applyFill="1" applyAlignment="1">
      <alignment horizontal="center"/>
    </xf>
    <xf numFmtId="0" fontId="0" fillId="4" borderId="0" xfId="0" applyFill="1"/>
    <xf numFmtId="0" fontId="0" fillId="5" borderId="0" xfId="0" applyFill="1"/>
    <xf numFmtId="0" fontId="0" fillId="6" borderId="0" xfId="0" applyFill="1"/>
    <xf numFmtId="0" fontId="4" fillId="0" borderId="0" xfId="1"/>
    <xf numFmtId="0" fontId="1" fillId="7" borderId="1" xfId="0" applyFont="1" applyFill="1" applyBorder="1"/>
    <xf numFmtId="0" fontId="0" fillId="0" borderId="1" xfId="0" applyBorder="1"/>
    <xf numFmtId="0" fontId="0" fillId="8" borderId="1" xfId="0" applyFill="1" applyBorder="1"/>
    <xf numFmtId="0" fontId="0" fillId="0" borderId="0" xfId="0" applyAlignment="1">
      <alignment horizontal="left" vertical="top" wrapText="1"/>
    </xf>
    <xf numFmtId="0" fontId="0" fillId="0" borderId="0" xfId="0" applyAlignment="1">
      <alignment vertical="top" wrapText="1"/>
    </xf>
  </cellXfs>
  <cellStyles count="2">
    <cellStyle name="Hyperlink 2" xfId="1" xr:uid="{75003A79-781C-4D3F-9045-E5DB218A38EB}"/>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71438</xdr:colOff>
          <xdr:row>5</xdr:row>
          <xdr:rowOff>57150</xdr:rowOff>
        </xdr:from>
        <xdr:to>
          <xdr:col>7</xdr:col>
          <xdr:colOff>38100</xdr:colOff>
          <xdr:row>6</xdr:row>
          <xdr:rowOff>171450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VB Simple - strict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52388</xdr:colOff>
          <xdr:row>7</xdr:row>
          <xdr:rowOff>100013</xdr:rowOff>
        </xdr:from>
        <xdr:to>
          <xdr:col>7</xdr:col>
          <xdr:colOff>33338</xdr:colOff>
          <xdr:row>9</xdr:row>
          <xdr:rowOff>42863</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57150</xdr:colOff>
      <xdr:row>9</xdr:row>
      <xdr:rowOff>44450</xdr:rowOff>
    </xdr:from>
    <xdr:to>
      <xdr:col>13</xdr:col>
      <xdr:colOff>146050</xdr:colOff>
      <xdr:row>50</xdr:row>
      <xdr:rowOff>63500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76350" y="1701800"/>
          <a:ext cx="6794500" cy="756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Prep your environment.</a:t>
          </a:r>
        </a:p>
        <a:p>
          <a:pPr lvl="1"/>
          <a:r>
            <a:rPr lang="en-US" sz="1100" b="0" i="0">
              <a:solidFill>
                <a:schemeClr val="dk1"/>
              </a:solidFill>
              <a:effectLst/>
              <a:latin typeface="+mn-lt"/>
              <a:ea typeface="+mn-ea"/>
              <a:cs typeface="+mn-cs"/>
            </a:rPr>
            <a:t>You'll want a folder in your user directory titled "SpreadsheetCoder". Move the sc.xlsm file into that folder.</a:t>
          </a:r>
        </a:p>
        <a:p>
          <a:pPr lvl="1"/>
          <a:r>
            <a:rPr lang="en-US" sz="1100" b="0" i="0">
              <a:solidFill>
                <a:schemeClr val="dk1"/>
              </a:solidFill>
              <a:effectLst/>
              <a:latin typeface="+mn-lt"/>
              <a:ea typeface="+mn-ea"/>
              <a:cs typeface="+mn-cs"/>
            </a:rPr>
            <a:t>You want a subfolder of that folder named "XMLLibrary". Technically this could be empty but start with the contents saved on</a:t>
          </a:r>
          <a:r>
            <a:rPr lang="en-US" sz="1100" b="0" i="0" baseline="0">
              <a:solidFill>
                <a:schemeClr val="dk1"/>
              </a:solidFill>
              <a:effectLst/>
              <a:latin typeface="+mn-lt"/>
              <a:ea typeface="+mn-ea"/>
              <a:cs typeface="+mn-cs"/>
            </a:rPr>
            <a:t> github in the</a:t>
          </a:r>
          <a:r>
            <a:rPr lang="en-US" sz="1100" b="0" i="0">
              <a:solidFill>
                <a:schemeClr val="dk1"/>
              </a:solidFill>
              <a:effectLst/>
              <a:latin typeface="+mn-lt"/>
              <a:ea typeface="+mn-ea"/>
              <a:cs typeface="+mn-cs"/>
            </a:rPr>
            <a:t> subfolder's XMLLibrary</a:t>
          </a:r>
        </a:p>
        <a:p>
          <a:pPr lvl="1"/>
          <a:r>
            <a:rPr lang="en-US" sz="1100" b="0" i="0">
              <a:solidFill>
                <a:schemeClr val="dk1"/>
              </a:solidFill>
              <a:effectLst/>
              <a:latin typeface="+mn-lt"/>
              <a:ea typeface="+mn-ea"/>
              <a:cs typeface="+mn-cs"/>
            </a:rPr>
            <a:t>Open sc.xlsm. Note the file uses macros and you'll have to enable the macros for this</a:t>
          </a:r>
          <a:r>
            <a:rPr lang="en-US" sz="1100" b="0" i="0" baseline="0">
              <a:solidFill>
                <a:schemeClr val="dk1"/>
              </a:solidFill>
              <a:effectLst/>
              <a:latin typeface="+mn-lt"/>
              <a:ea typeface="+mn-ea"/>
              <a:cs typeface="+mn-cs"/>
            </a:rPr>
            <a:t> to work. See page [https://support.microsoft.com/en-us/topic/a-potentially-dangerous-macro-has-been-blocked-0952faa0-37e7-4316-b61d-5b5ed6024216</a:t>
          </a:r>
          <a:r>
            <a:rPr lang="en-US"/>
            <a:t>]</a:t>
          </a:r>
          <a:r>
            <a:rPr lang="en-US" sz="1100" b="0" i="0">
              <a:solidFill>
                <a:schemeClr val="dk1"/>
              </a:solidFill>
              <a:effectLst/>
              <a:latin typeface="+mn-lt"/>
              <a:ea typeface="+mn-ea"/>
              <a:cs typeface="+mn-cs"/>
            </a:rPr>
            <a:t> </a:t>
          </a:r>
        </a:p>
        <a:p>
          <a:pPr lvl="2"/>
          <a:r>
            <a:rPr lang="en-US" sz="1100" b="0" i="0">
              <a:solidFill>
                <a:schemeClr val="dk1"/>
              </a:solidFill>
              <a:effectLst/>
              <a:latin typeface="+mn-lt"/>
              <a:ea typeface="+mn-ea"/>
              <a:cs typeface="+mn-cs"/>
            </a:rPr>
            <a:t>In Trust Center check 'trust access to the VBA project object model'. Note this is a module that creates vba code (and other languages). in order for this vba code to create vba code this option (which essentially says--allow this to create vba code) must be checked. Note that this is also a setting that someone writing malware may want you to check. do not run macros you don't trust when this is checked. Also, if you aren't sure how to get to trust center see troubleshooting below.</a:t>
          </a:r>
        </a:p>
        <a:p>
          <a:r>
            <a:rPr lang="en-US" sz="1100" b="0" i="0">
              <a:solidFill>
                <a:schemeClr val="dk1"/>
              </a:solidFill>
              <a:effectLst/>
              <a:latin typeface="+mn-lt"/>
              <a:ea typeface="+mn-ea"/>
              <a:cs typeface="+mn-cs"/>
            </a:rPr>
            <a:t>Now code a function from excel.</a:t>
          </a:r>
        </a:p>
        <a:p>
          <a:r>
            <a:rPr lang="en-US" sz="1100" b="0" i="0">
              <a:solidFill>
                <a:schemeClr val="dk1"/>
              </a:solidFill>
              <a:effectLst/>
              <a:latin typeface="+mn-lt"/>
              <a:ea typeface="+mn-ea"/>
              <a:cs typeface="+mn-cs"/>
            </a:rPr>
            <a:t>You'll want two spreadsheets open. 1) the spreadsheet with the function in it that you want to turn into code 2) the spreadsheet coder spreadsheet.</a:t>
          </a:r>
        </a:p>
        <a:p>
          <a:r>
            <a:rPr lang="en-US" sz="1100" b="0" i="0">
              <a:solidFill>
                <a:schemeClr val="dk1"/>
              </a:solidFill>
              <a:effectLst/>
              <a:latin typeface="+mn-lt"/>
              <a:ea typeface="+mn-ea"/>
              <a:cs typeface="+mn-cs"/>
            </a:rPr>
            <a:t>The spreadsheet coder excel file name needs to begin with "sc". (If you don't change the name, you're good here.)</a:t>
          </a:r>
        </a:p>
        <a:p>
          <a:r>
            <a:rPr lang="en-US" sz="1100" b="0" i="0">
              <a:solidFill>
                <a:schemeClr val="dk1"/>
              </a:solidFill>
              <a:effectLst/>
              <a:latin typeface="+mn-lt"/>
              <a:ea typeface="+mn-ea"/>
              <a:cs typeface="+mn-cs"/>
            </a:rPr>
            <a:t>You will need to prep your excel function</a:t>
          </a:r>
        </a:p>
        <a:p>
          <a:pPr lvl="1"/>
          <a:r>
            <a:rPr lang="en-US" sz="1100" b="0" i="0">
              <a:solidFill>
                <a:schemeClr val="dk1"/>
              </a:solidFill>
              <a:effectLst/>
              <a:latin typeface="+mn-lt"/>
              <a:ea typeface="+mn-ea"/>
              <a:cs typeface="+mn-cs"/>
            </a:rPr>
            <a:t>Put all of the input cells for your function in a range of cells arranged verically (i.e. width = 1, height = however many inputs you want)</a:t>
          </a:r>
        </a:p>
        <a:p>
          <a:pPr lvl="1"/>
          <a:r>
            <a:rPr lang="en-US" sz="1100" b="0" i="0">
              <a:solidFill>
                <a:schemeClr val="dk1"/>
              </a:solidFill>
              <a:effectLst/>
              <a:latin typeface="+mn-lt"/>
              <a:ea typeface="+mn-ea"/>
              <a:cs typeface="+mn-cs"/>
            </a:rPr>
            <a:t>Label your inputs one cell to the left of each input.</a:t>
          </a:r>
        </a:p>
        <a:p>
          <a:pPr lvl="1"/>
          <a:r>
            <a:rPr lang="en-US" sz="1100" b="0" i="0">
              <a:solidFill>
                <a:schemeClr val="dk1"/>
              </a:solidFill>
              <a:effectLst/>
              <a:latin typeface="+mn-lt"/>
              <a:ea typeface="+mn-ea"/>
              <a:cs typeface="+mn-cs"/>
            </a:rPr>
            <a:t>Put all of your output cells for your function in a similar range</a:t>
          </a:r>
        </a:p>
        <a:p>
          <a:pPr lvl="1"/>
          <a:r>
            <a:rPr lang="en-US" sz="1100" b="0" i="0">
              <a:solidFill>
                <a:schemeClr val="dk1"/>
              </a:solidFill>
              <a:effectLst/>
              <a:latin typeface="+mn-lt"/>
              <a:ea typeface="+mn-ea"/>
              <a:cs typeface="+mn-cs"/>
            </a:rPr>
            <a:t>Label your outputs for your function to the left of each output.</a:t>
          </a:r>
        </a:p>
        <a:p>
          <a:pPr lvl="1"/>
          <a:r>
            <a:rPr lang="en-US" sz="1100" b="0" i="0">
              <a:solidFill>
                <a:schemeClr val="dk1"/>
              </a:solidFill>
              <a:effectLst/>
              <a:latin typeface="+mn-lt"/>
              <a:ea typeface="+mn-ea"/>
              <a:cs typeface="+mn-cs"/>
            </a:rPr>
            <a:t>Give your function a name. If your function has a single output then the name to the left of that output will be the name of the</a:t>
          </a:r>
          <a:r>
            <a:rPr lang="en-US" sz="1100" b="0" i="0" baseline="0">
              <a:solidFill>
                <a:schemeClr val="dk1"/>
              </a:solidFill>
              <a:effectLst/>
              <a:latin typeface="+mn-lt"/>
              <a:ea typeface="+mn-ea"/>
              <a:cs typeface="+mn-cs"/>
            </a:rPr>
            <a:t> function.</a:t>
          </a:r>
          <a:endParaRPr lang="en-US" sz="1100" b="0" i="0">
            <a:solidFill>
              <a:schemeClr val="dk1"/>
            </a:solidFill>
            <a:effectLst/>
            <a:latin typeface="+mn-lt"/>
            <a:ea typeface="+mn-ea"/>
            <a:cs typeface="+mn-cs"/>
          </a:endParaRPr>
        </a:p>
        <a:p>
          <a:pPr lvl="1"/>
          <a:r>
            <a:rPr lang="en-US" sz="1100" b="0" i="0">
              <a:solidFill>
                <a:schemeClr val="dk1"/>
              </a:solidFill>
              <a:effectLst/>
              <a:latin typeface="+mn-lt"/>
              <a:ea typeface="+mn-ea"/>
              <a:cs typeface="+mn-cs"/>
            </a:rPr>
            <a:t>If your function has multiple outputs it is a bit more tricky.</a:t>
          </a:r>
        </a:p>
        <a:p>
          <a:pPr lvl="2"/>
          <a:r>
            <a:rPr lang="en-US" sz="1100" b="0" i="0">
              <a:solidFill>
                <a:schemeClr val="dk1"/>
              </a:solidFill>
              <a:effectLst/>
              <a:latin typeface="+mn-lt"/>
              <a:ea typeface="+mn-ea"/>
              <a:cs typeface="+mn-cs"/>
            </a:rPr>
            <a:t>For no particularly good reason, if your function has more than one output, put the function name in the following somewhat location:</a:t>
          </a:r>
        </a:p>
        <a:p>
          <a:pPr lvl="2"/>
          <a:r>
            <a:rPr lang="en-US" sz="1100" b="0" i="0">
              <a:solidFill>
                <a:schemeClr val="dk1"/>
              </a:solidFill>
              <a:effectLst/>
              <a:latin typeface="+mn-lt"/>
              <a:ea typeface="+mn-ea"/>
              <a:cs typeface="+mn-cs"/>
            </a:rPr>
            <a:t>Put the name in the cell just above the first label for the first output cell.</a:t>
          </a:r>
        </a:p>
        <a:p>
          <a:pPr lvl="1"/>
          <a:r>
            <a:rPr lang="en-US" sz="1100" b="0" i="0">
              <a:solidFill>
                <a:schemeClr val="dk1"/>
              </a:solidFill>
              <a:effectLst/>
              <a:latin typeface="+mn-lt"/>
              <a:ea typeface="+mn-ea"/>
              <a:cs typeface="+mn-cs"/>
            </a:rPr>
            <a:t>Avoid using</a:t>
          </a:r>
        </a:p>
        <a:p>
          <a:pPr lvl="2"/>
          <a:r>
            <a:rPr lang="en-US" sz="1100" b="0" i="0">
              <a:solidFill>
                <a:schemeClr val="dk1"/>
              </a:solidFill>
              <a:effectLst/>
              <a:latin typeface="+mn-lt"/>
              <a:ea typeface="+mn-ea"/>
              <a:cs typeface="+mn-cs"/>
            </a:rPr>
            <a:t>text functions. This is really just for math stuff.</a:t>
          </a:r>
        </a:p>
        <a:p>
          <a:pPr lvl="2"/>
          <a:r>
            <a:rPr lang="en-US" sz="1100" b="0" i="0">
              <a:solidFill>
                <a:schemeClr val="dk1"/>
              </a:solidFill>
              <a:effectLst/>
              <a:latin typeface="+mn-lt"/>
              <a:ea typeface="+mn-ea"/>
              <a:cs typeface="+mn-cs"/>
            </a:rPr>
            <a:t>indirect and any weird functions like that</a:t>
          </a:r>
        </a:p>
        <a:p>
          <a:pPr lvl="2"/>
          <a:r>
            <a:rPr lang="en-US" sz="1100" b="0" i="0">
              <a:solidFill>
                <a:schemeClr val="dk1"/>
              </a:solidFill>
              <a:effectLst/>
              <a:latin typeface="+mn-lt"/>
              <a:ea typeface="+mn-ea"/>
              <a:cs typeface="+mn-cs"/>
            </a:rPr>
            <a:t>functions that operate on ranges of cells. You can get away with sum, product and some of the lookup functions.</a:t>
          </a:r>
        </a:p>
        <a:p>
          <a:pPr lvl="3"/>
          <a:r>
            <a:rPr lang="en-US" sz="1100" b="0" i="0">
              <a:solidFill>
                <a:schemeClr val="dk1"/>
              </a:solidFill>
              <a:effectLst/>
              <a:latin typeface="+mn-lt"/>
              <a:ea typeface="+mn-ea"/>
              <a:cs typeface="+mn-cs"/>
            </a:rPr>
            <a:t>[placeholder for listing a lot of other limitations]</a:t>
          </a:r>
        </a:p>
        <a:p>
          <a:r>
            <a:rPr lang="en-US" sz="1100" b="0" i="0">
              <a:solidFill>
                <a:schemeClr val="dk1"/>
              </a:solidFill>
              <a:effectLst/>
              <a:latin typeface="+mn-lt"/>
              <a:ea typeface="+mn-ea"/>
              <a:cs typeface="+mn-cs"/>
            </a:rPr>
            <a:t>Make sure the settings on your "Options" tab of the spreadsheet are what you want. Defaults are a good place to start.</a:t>
          </a:r>
        </a:p>
        <a:p>
          <a:r>
            <a:rPr lang="en-US" sz="1100" b="0" i="0">
              <a:solidFill>
                <a:schemeClr val="dk1"/>
              </a:solidFill>
              <a:effectLst/>
              <a:latin typeface="+mn-lt"/>
              <a:ea typeface="+mn-ea"/>
              <a:cs typeface="+mn-cs"/>
            </a:rPr>
            <a:t>Run the Macro "Create" from your worksheet that has the funciton in it. If you aren't sure how to run a macro see troubleshooting section below.</a:t>
          </a:r>
        </a:p>
        <a:p>
          <a:r>
            <a:rPr lang="en-US" sz="1100" b="0" i="0">
              <a:solidFill>
                <a:schemeClr val="dk1"/>
              </a:solidFill>
              <a:effectLst/>
              <a:latin typeface="+mn-lt"/>
              <a:ea typeface="+mn-ea"/>
              <a:cs typeface="+mn-cs"/>
            </a:rPr>
            <a:t>It will ask you to select your input and output cells.</a:t>
          </a:r>
        </a:p>
        <a:p>
          <a:r>
            <a:rPr lang="en-US" sz="1100" b="0" i="0">
              <a:solidFill>
                <a:schemeClr val="dk1"/>
              </a:solidFill>
              <a:effectLst/>
              <a:latin typeface="+mn-lt"/>
              <a:ea typeface="+mn-ea"/>
              <a:cs typeface="+mn-cs"/>
            </a:rPr>
            <a:t>When complete a popup box that says "Complete" will show. [If you are looking at the VB page you might not see it as it shows in excel.]</a:t>
          </a:r>
        </a:p>
        <a:p>
          <a:r>
            <a:rPr lang="en-US" sz="1100" b="0" i="0">
              <a:solidFill>
                <a:schemeClr val="dk1"/>
              </a:solidFill>
              <a:effectLst/>
              <a:latin typeface="+mn-lt"/>
              <a:ea typeface="+mn-ea"/>
              <a:cs typeface="+mn-cs"/>
            </a:rPr>
            <a:t>That's it. Depending on your settings the code will be saved in a file. If so, the file will be located in the SpreadsheetCoder directory referenced above. If you re-run it again with the same functionName it will save over the old one, so if you want to keep the old one make sure to rename or copy it before running the create macro again for that function.</a:t>
          </a:r>
        </a:p>
        <a:p>
          <a:endParaRPr lang="en-US" sz="1100"/>
        </a:p>
      </xdr:txBody>
    </xdr:sp>
    <xdr:clientData/>
  </xdr:twoCellAnchor>
  <xdr:twoCellAnchor>
    <xdr:from>
      <xdr:col>4</xdr:col>
      <xdr:colOff>57150</xdr:colOff>
      <xdr:row>54</xdr:row>
      <xdr:rowOff>19050</xdr:rowOff>
    </xdr:from>
    <xdr:to>
      <xdr:col>13</xdr:col>
      <xdr:colOff>0</xdr:colOff>
      <xdr:row>62</xdr:row>
      <xdr:rowOff>31750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95550" y="9963150"/>
          <a:ext cx="5429250" cy="1485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way spreadsheetCoder works, each target language has its own class module which takes the final steps of translating the logic of the function into the target language. As part of this process the class module can check for a specific excel function and translate it into a specific function in the target language. </a:t>
          </a:r>
        </a:p>
        <a:p>
          <a:endParaRPr lang="en-US" sz="1100"/>
        </a:p>
        <a:p>
          <a:r>
            <a:rPr lang="en-US" sz="1100"/>
            <a:t>This is the way all of the languages handle the simple math functions like</a:t>
          </a:r>
          <a:r>
            <a:rPr lang="en-US" sz="1100" baseline="0"/>
            <a:t> plus, minus, multiply etc.  Some languages also handle additional functions like this. To see an example of that look at how "ROUNDDOWN" is handled in the class module SQL_2KF.</a:t>
          </a:r>
        </a:p>
      </xdr:txBody>
    </xdr:sp>
    <xdr:clientData/>
  </xdr:twoCellAnchor>
  <xdr:twoCellAnchor>
    <xdr:from>
      <xdr:col>4</xdr:col>
      <xdr:colOff>0</xdr:colOff>
      <xdr:row>64</xdr:row>
      <xdr:rowOff>0</xdr:rowOff>
    </xdr:from>
    <xdr:to>
      <xdr:col>12</xdr:col>
      <xdr:colOff>552450</xdr:colOff>
      <xdr:row>72</xdr:row>
      <xdr:rowOff>63500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438400" y="11785600"/>
          <a:ext cx="5429250" cy="153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Before creating the</a:t>
          </a:r>
          <a:r>
            <a:rPr lang="en-US" sz="1100" baseline="0">
              <a:solidFill>
                <a:schemeClr val="dk1"/>
              </a:solidFill>
              <a:effectLst/>
              <a:latin typeface="+mn-lt"/>
              <a:ea typeface="+mn-ea"/>
              <a:cs typeface="+mn-cs"/>
            </a:rPr>
            <a:t> specific target language code, SpreadsheetCoder breaks apart some of the function logic into more basic functional components. </a:t>
          </a:r>
        </a:p>
        <a:p>
          <a:endParaRPr lang="en-US">
            <a:effectLst/>
          </a:endParaRPr>
        </a:p>
        <a:p>
          <a:r>
            <a:rPr lang="en-US" sz="1100" baseline="0">
              <a:solidFill>
                <a:schemeClr val="dk1"/>
              </a:solidFill>
              <a:effectLst/>
              <a:latin typeface="+mn-lt"/>
              <a:ea typeface="+mn-ea"/>
              <a:cs typeface="+mn-cs"/>
            </a:rPr>
            <a:t>For example the function sum will breakapart all of the inputs into a bunch of addition functions. However, within a specific target language it can override that behavior. If the target language has direct support for sum it can override the default behavior of breaking apart sum into consecutive addition functions so that it has the ability to use the direct support when coding for sum.</a:t>
          </a:r>
          <a:endParaRPr lang="en-US">
            <a:effectLst/>
          </a:endParaRPr>
        </a:p>
      </xdr:txBody>
    </xdr:sp>
    <xdr:clientData/>
  </xdr:twoCellAnchor>
  <xdr:twoCellAnchor>
    <xdr:from>
      <xdr:col>3</xdr:col>
      <xdr:colOff>596900</xdr:colOff>
      <xdr:row>75</xdr:row>
      <xdr:rowOff>114300</xdr:rowOff>
    </xdr:from>
    <xdr:to>
      <xdr:col>12</xdr:col>
      <xdr:colOff>539750</xdr:colOff>
      <xdr:row>108</xdr:row>
      <xdr:rowOff>152400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25700" y="13925550"/>
          <a:ext cx="5429250" cy="6115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If a function has a fixed number of inputs, you can add support for it to SpreadsheetCoder if you can describe the logic with functions that SpreadsheetCoder already supports. I have already done this for a number of functions and these are part of the  XML library on github.</a:t>
          </a:r>
        </a:p>
        <a:p>
          <a:endParaRPr lang="en-US" sz="1100" baseline="0"/>
        </a:p>
        <a:p>
          <a:r>
            <a:rPr lang="en-US" sz="1100" baseline="0"/>
            <a:t>Though you have to be careful not to create circular dependencies, one of the functions within the library can include a function that is also in the library.</a:t>
          </a:r>
        </a:p>
        <a:p>
          <a:endParaRPr lang="en-US" sz="1100" baseline="0"/>
        </a:p>
        <a:p>
          <a:r>
            <a:rPr lang="en-US" sz="1100" baseline="0"/>
            <a:t>For example, PV is a handy  to calculate the present value of an annuity. If you look at the excel help for this function it will tell you how to use it and by following the link for more information you can see the formula Excel uses to calculate the value.</a:t>
          </a:r>
        </a:p>
        <a:p>
          <a:endParaRPr lang="en-US" sz="1100" baseline="0"/>
        </a:p>
        <a:p>
          <a:r>
            <a:rPr lang="en-US" sz="1100" baseline="0"/>
            <a:t>Suppose you have logic for a function in Excel and you want to translate that to run on Teradata. The function in Excel makes use of PV and for this discussion let's suppose PV wasn't already defined in the XML Library. </a:t>
          </a:r>
        </a:p>
        <a:p>
          <a:endParaRPr lang="en-US" sz="1100" baseline="0"/>
        </a:p>
        <a:p>
          <a:r>
            <a:rPr lang="en-US" sz="1100" baseline="0"/>
            <a:t>Given that you know the formula for PV you could in your Excel file, get rid of PV and just use the more basic calculations to calcule the present value; however, this will make your code harder to read, more error prone and will get tedious if you use PV multiple times and in different functions.</a:t>
          </a:r>
        </a:p>
        <a:p>
          <a:endParaRPr lang="en-US" sz="1100" baseline="0"/>
        </a:p>
        <a:p>
          <a:r>
            <a:rPr lang="en-US" sz="1100" baseline="0"/>
            <a:t>A better approach would be to start a new Excel file and recreate the PV function using the formula for present value. I would recommend setting up proper test cases follow strict mode. Then name the function MyPV or something like that (so it doesn't conflict with Excel's own PV function) and translate into VB for proper testing. Once you feel confident in it, change the name back to 'PV' (the label to the left of the output cell) and translate the fuction to XML. That will save a file PV.XML in the target location and you can then move that file into your XML library. Now that you have the logic of PV properly as XML in your XML library, when SpreadsheetCoder comes across the PV function it will find that logic and it will use that to break the PV down into the defined component functions.</a:t>
          </a:r>
        </a:p>
        <a:p>
          <a:endParaRPr lang="en-US" sz="1100" baseline="0"/>
        </a:p>
        <a:p>
          <a:r>
            <a:rPr lang="en-US" sz="1100" baseline="0"/>
            <a:t>Note of course that PV is already in the XML library. Also, you may notice that I began by saying that you can only do this if there are a fixed number of inputs but in fact PV doesn't have a fixed number of inputs. Right now SpreadsheetCoder doesn't have a simple way of just setting the defaults for a function like this. Instead SpreadsheetCoder sets the missing defaults to explicit defaults for a specific set of functions and PV is one of those. </a:t>
          </a:r>
        </a:p>
      </xdr:txBody>
    </xdr:sp>
    <xdr:clientData/>
  </xdr:twoCellAnchor>
  <xdr:twoCellAnchor>
    <xdr:from>
      <xdr:col>4</xdr:col>
      <xdr:colOff>25400</xdr:colOff>
      <xdr:row>111</xdr:row>
      <xdr:rowOff>31750</xdr:rowOff>
    </xdr:from>
    <xdr:to>
      <xdr:col>12</xdr:col>
      <xdr:colOff>527050</xdr:colOff>
      <xdr:row>125</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484D71-F15F-43A8-859C-B8323FB22C2D}" name="LangOptions" displayName="LangOptions" ref="B129:E139" totalsRowShown="0">
  <tableColumns count="4">
    <tableColumn id="1" xr3:uid="{7D89CDB5-6AF3-4C3D-BA91-FE782BE8CFED}" name="Option"/>
    <tableColumn id="2" xr3:uid="{E60176BB-475F-4A49-BA99-93AA6D7B0093}" name="VB"/>
    <tableColumn id="4" xr3:uid="{C4C509A7-8B8E-41F3-A0AF-F8C1168BCF2E}" name="D_ReadFromFile"/>
    <tableColumn id="3" xr3:uid="{112B11FF-42CB-42E0-AF63-AAB68A982C55}"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A21D2-3D60-416D-951E-5029F8824E2F}">
  <sheetPr codeName="Sheet1"/>
  <dimension ref="A1:G160"/>
  <sheetViews>
    <sheetView tabSelected="1" workbookViewId="0">
      <selection activeCell="C3" sqref="C3"/>
    </sheetView>
  </sheetViews>
  <sheetFormatPr defaultRowHeight="14.25" x14ac:dyDescent="0.45"/>
  <cols>
    <col min="1" max="1" width="6.73046875" customWidth="1"/>
    <col min="2" max="2" width="11.46484375" customWidth="1"/>
    <col min="3" max="3" width="86" customWidth="1"/>
    <col min="7" max="7" width="19.53125" customWidth="1"/>
    <col min="9" max="9" width="16.53125" customWidth="1"/>
    <col min="14" max="14" width="55.19921875" customWidth="1"/>
  </cols>
  <sheetData>
    <row r="1" spans="1:7" x14ac:dyDescent="0.45">
      <c r="A1" s="1" t="s">
        <v>0</v>
      </c>
      <c r="G1" t="s">
        <v>1</v>
      </c>
    </row>
    <row r="2" spans="1:7" x14ac:dyDescent="0.45">
      <c r="B2" s="15" t="s">
        <v>2</v>
      </c>
      <c r="C2" s="15"/>
      <c r="D2" s="15"/>
      <c r="E2" s="15"/>
      <c r="G2" t="s">
        <v>3</v>
      </c>
    </row>
    <row r="3" spans="1:7" x14ac:dyDescent="0.45">
      <c r="G3" t="s">
        <v>95</v>
      </c>
    </row>
    <row r="4" spans="1:7" x14ac:dyDescent="0.45">
      <c r="A4" s="1" t="s">
        <v>4</v>
      </c>
      <c r="G4" t="s">
        <v>96</v>
      </c>
    </row>
    <row r="5" spans="1:7" x14ac:dyDescent="0.45">
      <c r="B5" s="1" t="s">
        <v>5</v>
      </c>
    </row>
    <row r="6" spans="1:7" x14ac:dyDescent="0.45">
      <c r="B6" t="s">
        <v>6</v>
      </c>
      <c r="C6" t="s">
        <v>7</v>
      </c>
    </row>
    <row r="7" spans="1:7" x14ac:dyDescent="0.45">
      <c r="B7" t="s">
        <v>8</v>
      </c>
      <c r="C7" s="2" t="s">
        <v>9</v>
      </c>
    </row>
    <row r="8" spans="1:7" x14ac:dyDescent="0.45">
      <c r="B8" t="s">
        <v>10</v>
      </c>
      <c r="C8" s="3">
        <f>MATCH(C7,LangOptions[Option], 0)</f>
        <v>9</v>
      </c>
      <c r="D8" t="s">
        <v>11</v>
      </c>
    </row>
    <row r="9" spans="1:7" x14ac:dyDescent="0.45">
      <c r="B9" t="s">
        <v>12</v>
      </c>
      <c r="C9" s="3" cm="1">
        <f t="array" ref="C9">INDEX(LangOptions[OptionID],C8)</f>
        <v>1</v>
      </c>
      <c r="D9" t="s">
        <v>11</v>
      </c>
    </row>
    <row r="11" spans="1:7" x14ac:dyDescent="0.45">
      <c r="B11" s="1" t="s">
        <v>13</v>
      </c>
    </row>
    <row r="12" spans="1:7" ht="57" customHeight="1" x14ac:dyDescent="0.45">
      <c r="B12" s="4" t="s">
        <v>6</v>
      </c>
      <c r="C12" s="5" t="s">
        <v>14</v>
      </c>
    </row>
    <row r="13" spans="1:7" x14ac:dyDescent="0.45">
      <c r="B13" t="s">
        <v>8</v>
      </c>
      <c r="C13" s="2" t="b">
        <v>0</v>
      </c>
    </row>
    <row r="14" spans="1:7" x14ac:dyDescent="0.45">
      <c r="B14" t="s">
        <v>15</v>
      </c>
      <c r="C14" s="3" t="b" cm="1">
        <f t="array" ref="C14">IF(C13="Default",INDEX(LangOptions[D_ReadFromFile],$C$8),C13)</f>
        <v>0</v>
      </c>
      <c r="D14" t="s">
        <v>11</v>
      </c>
    </row>
    <row r="16" spans="1:7" x14ac:dyDescent="0.45">
      <c r="B16" s="1" t="s">
        <v>16</v>
      </c>
    </row>
    <row r="17" spans="2:3" ht="28.5" x14ac:dyDescent="0.45">
      <c r="B17" s="4" t="s">
        <v>6</v>
      </c>
      <c r="C17" s="5" t="s">
        <v>17</v>
      </c>
    </row>
    <row r="18" spans="2:3" x14ac:dyDescent="0.45">
      <c r="B18" t="s">
        <v>8</v>
      </c>
      <c r="C18" s="2" t="s">
        <v>18</v>
      </c>
    </row>
    <row r="20" spans="2:3" x14ac:dyDescent="0.45">
      <c r="B20" s="1" t="s">
        <v>19</v>
      </c>
    </row>
    <row r="21" spans="2:3" ht="28.5" x14ac:dyDescent="0.45">
      <c r="B21" s="4" t="s">
        <v>6</v>
      </c>
      <c r="C21" s="5" t="s">
        <v>20</v>
      </c>
    </row>
    <row r="22" spans="2:3" x14ac:dyDescent="0.45">
      <c r="B22" t="s">
        <v>8</v>
      </c>
      <c r="C22" s="2" t="s">
        <v>85</v>
      </c>
    </row>
    <row r="24" spans="2:3" x14ac:dyDescent="0.45">
      <c r="B24" s="1" t="s">
        <v>22</v>
      </c>
    </row>
    <row r="25" spans="2:3" ht="42.75" x14ac:dyDescent="0.45">
      <c r="B25" s="4" t="s">
        <v>6</v>
      </c>
      <c r="C25" s="5" t="s">
        <v>23</v>
      </c>
    </row>
    <row r="26" spans="2:3" x14ac:dyDescent="0.45">
      <c r="B26" t="s">
        <v>8</v>
      </c>
      <c r="C26" s="2" t="s">
        <v>24</v>
      </c>
    </row>
    <row r="28" spans="2:3" x14ac:dyDescent="0.45">
      <c r="B28" s="1" t="s">
        <v>97</v>
      </c>
    </row>
    <row r="29" spans="2:3" ht="75.7" customHeight="1" x14ac:dyDescent="0.45">
      <c r="B29" s="4" t="s">
        <v>6</v>
      </c>
      <c r="C29" s="5" t="s">
        <v>98</v>
      </c>
    </row>
    <row r="30" spans="2:3" x14ac:dyDescent="0.45">
      <c r="B30" t="s">
        <v>8</v>
      </c>
      <c r="C30" s="2" t="s">
        <v>24</v>
      </c>
    </row>
    <row r="32" spans="2:3" x14ac:dyDescent="0.45">
      <c r="B32" s="1" t="s">
        <v>100</v>
      </c>
    </row>
    <row r="33" spans="2:3" ht="57" x14ac:dyDescent="0.45">
      <c r="B33" s="4" t="s">
        <v>6</v>
      </c>
      <c r="C33" s="5" t="s">
        <v>99</v>
      </c>
    </row>
    <row r="34" spans="2:3" x14ac:dyDescent="0.45">
      <c r="B34" t="s">
        <v>8</v>
      </c>
      <c r="C34" s="2" t="s">
        <v>24</v>
      </c>
    </row>
    <row r="36" spans="2:3" x14ac:dyDescent="0.45">
      <c r="B36" s="1" t="s">
        <v>102</v>
      </c>
    </row>
    <row r="37" spans="2:3" ht="57" x14ac:dyDescent="0.45">
      <c r="B37" s="4" t="s">
        <v>6</v>
      </c>
      <c r="C37" s="5" t="s">
        <v>101</v>
      </c>
    </row>
    <row r="38" spans="2:3" x14ac:dyDescent="0.45">
      <c r="B38" t="s">
        <v>8</v>
      </c>
      <c r="C38" s="2" t="b">
        <v>1</v>
      </c>
    </row>
    <row r="40" spans="2:3" x14ac:dyDescent="0.45">
      <c r="B40" s="1" t="s">
        <v>25</v>
      </c>
    </row>
    <row r="41" spans="2:3" ht="85.5" x14ac:dyDescent="0.45">
      <c r="B41" s="4" t="s">
        <v>6</v>
      </c>
      <c r="C41" s="5" t="s">
        <v>26</v>
      </c>
    </row>
    <row r="42" spans="2:3" x14ac:dyDescent="0.45">
      <c r="B42" t="s">
        <v>8</v>
      </c>
      <c r="C42" s="2" t="s">
        <v>27</v>
      </c>
    </row>
    <row r="44" spans="2:3" x14ac:dyDescent="0.45">
      <c r="B44" s="1" t="s">
        <v>28</v>
      </c>
    </row>
    <row r="45" spans="2:3" ht="54" customHeight="1" x14ac:dyDescent="0.45">
      <c r="B45" s="4" t="s">
        <v>6</v>
      </c>
      <c r="C45" s="5" t="s">
        <v>29</v>
      </c>
    </row>
    <row r="46" spans="2:3" x14ac:dyDescent="0.45">
      <c r="B46" t="s">
        <v>8</v>
      </c>
      <c r="C46" s="2" t="b">
        <v>1</v>
      </c>
    </row>
    <row r="48" spans="2:3" x14ac:dyDescent="0.45">
      <c r="B48" s="1" t="s">
        <v>30</v>
      </c>
    </row>
    <row r="49" spans="1:4" ht="42.75" x14ac:dyDescent="0.45">
      <c r="B49" s="4" t="s">
        <v>6</v>
      </c>
      <c r="C49" s="5" t="s">
        <v>31</v>
      </c>
    </row>
    <row r="50" spans="1:4" x14ac:dyDescent="0.45">
      <c r="B50" s="4"/>
      <c r="C50" s="6" t="s">
        <v>32</v>
      </c>
    </row>
    <row r="51" spans="1:4" x14ac:dyDescent="0.45">
      <c r="B51" s="4"/>
      <c r="C51" s="6" t="s">
        <v>33</v>
      </c>
    </row>
    <row r="52" spans="1:4" x14ac:dyDescent="0.45">
      <c r="B52" s="4"/>
      <c r="C52" s="6" t="s">
        <v>34</v>
      </c>
    </row>
    <row r="53" spans="1:4" x14ac:dyDescent="0.45">
      <c r="B53" s="4"/>
      <c r="C53" s="6" t="s">
        <v>35</v>
      </c>
    </row>
    <row r="54" spans="1:4" x14ac:dyDescent="0.45">
      <c r="B54" t="s">
        <v>8</v>
      </c>
      <c r="C54" s="2" t="s">
        <v>36</v>
      </c>
    </row>
    <row r="56" spans="1:4" x14ac:dyDescent="0.45">
      <c r="A56" s="1" t="s">
        <v>37</v>
      </c>
    </row>
    <row r="57" spans="1:4" x14ac:dyDescent="0.45">
      <c r="B57" s="1" t="s">
        <v>38</v>
      </c>
    </row>
    <row r="58" spans="1:4" ht="75" customHeight="1" x14ac:dyDescent="0.45">
      <c r="B58" s="4" t="s">
        <v>6</v>
      </c>
      <c r="C58" s="5" t="s">
        <v>39</v>
      </c>
    </row>
    <row r="59" spans="1:4" x14ac:dyDescent="0.45">
      <c r="B59" t="s">
        <v>8</v>
      </c>
      <c r="C59" s="2" t="s">
        <v>24</v>
      </c>
    </row>
    <row r="60" spans="1:4" x14ac:dyDescent="0.45">
      <c r="B60" t="s">
        <v>15</v>
      </c>
      <c r="C60" s="7" t="b" cm="1">
        <f t="array" ref="C60">IF(C59="Default",INDEX(LangOptions[VB],$C$8),C59)</f>
        <v>1</v>
      </c>
      <c r="D60" t="s">
        <v>11</v>
      </c>
    </row>
    <row r="63" spans="1:4" x14ac:dyDescent="0.45">
      <c r="A63" s="1" t="s">
        <v>40</v>
      </c>
    </row>
    <row r="64" spans="1:4" ht="60.7" customHeight="1" x14ac:dyDescent="0.45">
      <c r="B64" s="16" t="s">
        <v>103</v>
      </c>
      <c r="C64" s="16"/>
    </row>
    <row r="66" spans="1:4" x14ac:dyDescent="0.45">
      <c r="A66" t="s">
        <v>41</v>
      </c>
    </row>
    <row r="67" spans="1:4" x14ac:dyDescent="0.45">
      <c r="B67" t="s">
        <v>42</v>
      </c>
    </row>
    <row r="68" spans="1:4" x14ac:dyDescent="0.45">
      <c r="B68" t="s">
        <v>43</v>
      </c>
    </row>
    <row r="69" spans="1:4" x14ac:dyDescent="0.45">
      <c r="B69" t="s">
        <v>44</v>
      </c>
    </row>
    <row r="70" spans="1:4" x14ac:dyDescent="0.45">
      <c r="B70" t="s">
        <v>45</v>
      </c>
    </row>
    <row r="71" spans="1:4" x14ac:dyDescent="0.45">
      <c r="B71" t="s">
        <v>46</v>
      </c>
    </row>
    <row r="72" spans="1:4" x14ac:dyDescent="0.45">
      <c r="B72" t="s">
        <v>47</v>
      </c>
    </row>
    <row r="73" spans="1:4" x14ac:dyDescent="0.45">
      <c r="B73" t="s">
        <v>48</v>
      </c>
    </row>
    <row r="75" spans="1:4" x14ac:dyDescent="0.45">
      <c r="B75" s="1" t="s">
        <v>49</v>
      </c>
      <c r="C75" t="s">
        <v>106</v>
      </c>
    </row>
    <row r="76" spans="1:4" x14ac:dyDescent="0.45">
      <c r="B76" t="s">
        <v>8</v>
      </c>
      <c r="C76" s="2" t="b">
        <v>1</v>
      </c>
    </row>
    <row r="78" spans="1:4" x14ac:dyDescent="0.45">
      <c r="B78" t="s">
        <v>50</v>
      </c>
    </row>
    <row r="79" spans="1:4" x14ac:dyDescent="0.45">
      <c r="B79" s="1" t="s">
        <v>107</v>
      </c>
    </row>
    <row r="80" spans="1:4" x14ac:dyDescent="0.45">
      <c r="B80" t="s">
        <v>8</v>
      </c>
      <c r="C80" s="2">
        <v>6750207</v>
      </c>
      <c r="D80" s="8"/>
    </row>
    <row r="82" spans="1:4" x14ac:dyDescent="0.45">
      <c r="B82" s="1" t="s">
        <v>108</v>
      </c>
    </row>
    <row r="83" spans="1:4" x14ac:dyDescent="0.45">
      <c r="B83" t="s">
        <v>8</v>
      </c>
      <c r="C83" s="2">
        <v>14121904</v>
      </c>
      <c r="D83" s="9"/>
    </row>
    <row r="85" spans="1:4" x14ac:dyDescent="0.45">
      <c r="B85" s="1" t="s">
        <v>109</v>
      </c>
    </row>
    <row r="86" spans="1:4" x14ac:dyDescent="0.45">
      <c r="B86" t="s">
        <v>8</v>
      </c>
      <c r="C86" s="2">
        <v>6937599</v>
      </c>
      <c r="D86" s="10"/>
    </row>
    <row r="88" spans="1:4" x14ac:dyDescent="0.45">
      <c r="A88" s="1" t="s">
        <v>51</v>
      </c>
    </row>
    <row r="89" spans="1:4" ht="51" customHeight="1" x14ac:dyDescent="0.45">
      <c r="A89" s="1"/>
      <c r="B89" s="16" t="s">
        <v>52</v>
      </c>
      <c r="C89" s="16"/>
    </row>
    <row r="90" spans="1:4" x14ac:dyDescent="0.45">
      <c r="A90" s="1"/>
    </row>
    <row r="91" spans="1:4" x14ac:dyDescent="0.45">
      <c r="B91" s="1" t="s">
        <v>53</v>
      </c>
    </row>
    <row r="92" spans="1:4" x14ac:dyDescent="0.45">
      <c r="B92" s="4" t="s">
        <v>6</v>
      </c>
      <c r="C92" s="5" t="s">
        <v>110</v>
      </c>
    </row>
    <row r="93" spans="1:4" x14ac:dyDescent="0.45">
      <c r="B93" t="s">
        <v>8</v>
      </c>
      <c r="C93" s="2" t="s">
        <v>54</v>
      </c>
    </row>
    <row r="95" spans="1:4" x14ac:dyDescent="0.45">
      <c r="B95" s="1" t="s">
        <v>104</v>
      </c>
    </row>
    <row r="96" spans="1:4" ht="142.5" x14ac:dyDescent="0.45">
      <c r="B96" s="4" t="s">
        <v>6</v>
      </c>
      <c r="C96" s="5" t="s">
        <v>111</v>
      </c>
    </row>
    <row r="97" spans="2:3" x14ac:dyDescent="0.45">
      <c r="B97" t="s">
        <v>8</v>
      </c>
      <c r="C97" s="2" t="b">
        <v>0</v>
      </c>
    </row>
    <row r="99" spans="2:3" x14ac:dyDescent="0.45">
      <c r="B99" s="1" t="s">
        <v>105</v>
      </c>
    </row>
    <row r="100" spans="2:3" ht="42.75" x14ac:dyDescent="0.45">
      <c r="B100" s="4" t="s">
        <v>6</v>
      </c>
      <c r="C100" s="5" t="s">
        <v>112</v>
      </c>
    </row>
    <row r="101" spans="2:3" x14ac:dyDescent="0.45">
      <c r="B101" t="s">
        <v>8</v>
      </c>
      <c r="C101" s="2" t="b">
        <v>0</v>
      </c>
    </row>
    <row r="126" spans="2:2" x14ac:dyDescent="0.45">
      <c r="B126" s="1" t="s">
        <v>93</v>
      </c>
    </row>
    <row r="127" spans="2:2" x14ac:dyDescent="0.45">
      <c r="B127" t="s">
        <v>94</v>
      </c>
    </row>
    <row r="129" spans="2:5" x14ac:dyDescent="0.45">
      <c r="B129" t="s">
        <v>67</v>
      </c>
      <c r="C129" t="s">
        <v>68</v>
      </c>
      <c r="D129" t="s">
        <v>69</v>
      </c>
      <c r="E129" t="s">
        <v>70</v>
      </c>
    </row>
    <row r="130" spans="2:5" x14ac:dyDescent="0.45">
      <c r="B130" t="s">
        <v>71</v>
      </c>
      <c r="C130" t="b">
        <v>0</v>
      </c>
      <c r="D130" t="b">
        <v>0</v>
      </c>
      <c r="E130">
        <v>10</v>
      </c>
    </row>
    <row r="131" spans="2:5" x14ac:dyDescent="0.45">
      <c r="B131" t="s">
        <v>72</v>
      </c>
      <c r="C131" t="b">
        <v>0</v>
      </c>
      <c r="D131" t="b">
        <v>1</v>
      </c>
      <c r="E131">
        <v>4</v>
      </c>
    </row>
    <row r="132" spans="2:5" x14ac:dyDescent="0.45">
      <c r="B132" t="s">
        <v>73</v>
      </c>
      <c r="C132" t="b">
        <v>0</v>
      </c>
      <c r="D132" t="b">
        <v>1</v>
      </c>
      <c r="E132">
        <v>6</v>
      </c>
    </row>
    <row r="133" spans="2:5" x14ac:dyDescent="0.45">
      <c r="B133" t="s">
        <v>74</v>
      </c>
      <c r="C133" t="b">
        <v>0</v>
      </c>
      <c r="D133" t="b">
        <v>1</v>
      </c>
      <c r="E133">
        <v>2</v>
      </c>
    </row>
    <row r="134" spans="2:5" x14ac:dyDescent="0.45">
      <c r="B134" t="s">
        <v>75</v>
      </c>
      <c r="C134" t="b">
        <v>0</v>
      </c>
      <c r="D134" t="b">
        <v>1</v>
      </c>
      <c r="E134">
        <v>8</v>
      </c>
    </row>
    <row r="135" spans="2:5" x14ac:dyDescent="0.45">
      <c r="B135" t="s">
        <v>76</v>
      </c>
      <c r="C135" t="b">
        <v>0</v>
      </c>
      <c r="D135" t="b">
        <v>1</v>
      </c>
      <c r="E135">
        <v>9</v>
      </c>
    </row>
    <row r="136" spans="2:5" x14ac:dyDescent="0.45">
      <c r="B136" t="s">
        <v>77</v>
      </c>
      <c r="C136" t="b">
        <v>0</v>
      </c>
      <c r="D136" t="b">
        <v>1</v>
      </c>
      <c r="E136">
        <v>7</v>
      </c>
    </row>
    <row r="137" spans="2:5" x14ac:dyDescent="0.45">
      <c r="B137" t="s">
        <v>78</v>
      </c>
      <c r="C137" t="b">
        <v>1</v>
      </c>
      <c r="D137" t="b">
        <v>1</v>
      </c>
      <c r="E137">
        <v>3</v>
      </c>
    </row>
    <row r="138" spans="2:5" x14ac:dyDescent="0.45">
      <c r="B138" t="s">
        <v>9</v>
      </c>
      <c r="C138" t="b">
        <v>1</v>
      </c>
      <c r="D138" t="b">
        <v>0</v>
      </c>
      <c r="E138">
        <v>1</v>
      </c>
    </row>
    <row r="139" spans="2:5" x14ac:dyDescent="0.45">
      <c r="B139" t="s">
        <v>79</v>
      </c>
      <c r="C139" t="b">
        <v>0</v>
      </c>
      <c r="D139" t="b">
        <v>0</v>
      </c>
      <c r="E139">
        <v>5</v>
      </c>
    </row>
    <row r="141" spans="2:5" x14ac:dyDescent="0.45">
      <c r="B141" s="12" t="s">
        <v>80</v>
      </c>
    </row>
    <row r="142" spans="2:5" x14ac:dyDescent="0.45">
      <c r="B142" s="13" t="s">
        <v>21</v>
      </c>
    </row>
    <row r="143" spans="2:5" x14ac:dyDescent="0.45">
      <c r="B143" s="14" t="s">
        <v>81</v>
      </c>
    </row>
    <row r="144" spans="2:5" x14ac:dyDescent="0.45">
      <c r="B144" s="13" t="s">
        <v>82</v>
      </c>
    </row>
    <row r="145" spans="2:2" x14ac:dyDescent="0.45">
      <c r="B145" s="14" t="s">
        <v>83</v>
      </c>
    </row>
    <row r="146" spans="2:2" x14ac:dyDescent="0.45">
      <c r="B146" s="13" t="s">
        <v>84</v>
      </c>
    </row>
    <row r="147" spans="2:2" x14ac:dyDescent="0.45">
      <c r="B147" s="14" t="s">
        <v>85</v>
      </c>
    </row>
    <row r="150" spans="2:2" x14ac:dyDescent="0.45">
      <c r="B150" s="12" t="s">
        <v>86</v>
      </c>
    </row>
    <row r="151" spans="2:2" x14ac:dyDescent="0.45">
      <c r="B151" s="13" t="s">
        <v>87</v>
      </c>
    </row>
    <row r="152" spans="2:2" x14ac:dyDescent="0.45">
      <c r="B152" s="14" t="s">
        <v>88</v>
      </c>
    </row>
    <row r="153" spans="2:2" x14ac:dyDescent="0.45">
      <c r="B153" s="13" t="s">
        <v>36</v>
      </c>
    </row>
    <row r="154" spans="2:2" x14ac:dyDescent="0.45">
      <c r="B154" s="14" t="s">
        <v>89</v>
      </c>
    </row>
    <row r="157" spans="2:2" x14ac:dyDescent="0.45">
      <c r="B157" s="12" t="s">
        <v>25</v>
      </c>
    </row>
    <row r="158" spans="2:2" x14ac:dyDescent="0.45">
      <c r="B158" s="13" t="s">
        <v>27</v>
      </c>
    </row>
    <row r="159" spans="2:2" x14ac:dyDescent="0.45">
      <c r="B159" s="14" t="s">
        <v>90</v>
      </c>
    </row>
    <row r="160" spans="2:2" x14ac:dyDescent="0.45">
      <c r="B160" s="13" t="s">
        <v>91</v>
      </c>
    </row>
  </sheetData>
  <mergeCells count="3">
    <mergeCell ref="B2:E2"/>
    <mergeCell ref="B64:C64"/>
    <mergeCell ref="B89:C89"/>
  </mergeCells>
  <dataValidations count="6">
    <dataValidation type="list" allowBlank="1" showInputMessage="1" showErrorMessage="1" sqref="C46 C76 C97 C38 C101" xr:uid="{247E99D7-9723-4482-A3AB-4AA9176DD774}">
      <formula1>"TRUE,FALSE"</formula1>
    </dataValidation>
    <dataValidation type="list" allowBlank="1" showInputMessage="1" showErrorMessage="1" sqref="C13 C59" xr:uid="{854E3230-77F6-418A-B962-8DBAA26A7338}">
      <formula1>"True,False,Default"</formula1>
    </dataValidation>
    <dataValidation type="list" allowBlank="1" showInputMessage="1" showErrorMessage="1" sqref="C22" xr:uid="{F2962707-B0EC-4BDC-A6A1-2C60A79B2B06}">
      <formula1>$B$142:$B$147</formula1>
    </dataValidation>
    <dataValidation type="list" allowBlank="1" showInputMessage="1" showErrorMessage="1" sqref="C54" xr:uid="{7AF071F6-6ABC-42A8-87FA-7F06C3F0A46B}">
      <formula1>$B$151:$B$154</formula1>
    </dataValidation>
    <dataValidation type="list" allowBlank="1" showInputMessage="1" showErrorMessage="1" sqref="C42" xr:uid="{71EB7CC9-F133-4E78-BFC1-FAC9BA059506}">
      <formula1>$B$158:$B$160</formula1>
    </dataValidation>
    <dataValidation type="list" allowBlank="1" showInputMessage="1" showErrorMessage="1" sqref="C7" xr:uid="{0D2769DA-7F7F-4D41-9766-297CC6207D1C}">
      <formula1>$B$130:$B$139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9" r:id="rId4" name="Button 17">
              <controlPr defaultSize="0" print="0" autoFill="0" autoPict="0" macro="[0]!defaultVBSimpleStrictSettings">
                <anchor moveWithCells="1" sizeWithCells="1">
                  <from>
                    <xdr:col>6</xdr:col>
                    <xdr:colOff>71438</xdr:colOff>
                    <xdr:row>5</xdr:row>
                    <xdr:rowOff>57150</xdr:rowOff>
                  </from>
                  <to>
                    <xdr:col>7</xdr:col>
                    <xdr:colOff>38100</xdr:colOff>
                    <xdr:row>6</xdr:row>
                    <xdr:rowOff>171450</xdr:rowOff>
                  </to>
                </anchor>
              </controlPr>
            </control>
          </mc:Choice>
        </mc:AlternateContent>
        <mc:AlternateContent xmlns:mc="http://schemas.openxmlformats.org/markup-compatibility/2006">
          <mc:Choice Requires="x14">
            <control shapeId="3091" r:id="rId5" name="Button 19">
              <controlPr defaultSize="0" print="0" autoFill="0" autoPict="0" macro="[0]!defaultXMLOnly">
                <anchor moveWithCells="1" sizeWithCells="1">
                  <from>
                    <xdr:col>6</xdr:col>
                    <xdr:colOff>52388</xdr:colOff>
                    <xdr:row>7</xdr:row>
                    <xdr:rowOff>100013</xdr:rowOff>
                  </from>
                  <to>
                    <xdr:col>7</xdr:col>
                    <xdr:colOff>33338</xdr:colOff>
                    <xdr:row>9</xdr:row>
                    <xdr:rowOff>42863</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BCAB0-8900-4132-AB8F-70EE5B99B2AB}">
  <sheetPr codeName="Sheet3"/>
  <dimension ref="B2:D111"/>
  <sheetViews>
    <sheetView topLeftCell="A116" workbookViewId="0">
      <selection activeCell="C127" sqref="C127"/>
    </sheetView>
  </sheetViews>
  <sheetFormatPr defaultRowHeight="14.25" x14ac:dyDescent="0.45"/>
  <sheetData>
    <row r="2" spans="2:3" x14ac:dyDescent="0.45">
      <c r="B2" s="1" t="s">
        <v>55</v>
      </c>
    </row>
    <row r="3" spans="2:3" x14ac:dyDescent="0.45">
      <c r="B3" t="s">
        <v>56</v>
      </c>
    </row>
    <row r="5" spans="2:3" x14ac:dyDescent="0.45">
      <c r="B5" s="1" t="s">
        <v>57</v>
      </c>
    </row>
    <row r="6" spans="2:3" x14ac:dyDescent="0.45">
      <c r="B6" t="s">
        <v>58</v>
      </c>
    </row>
    <row r="7" spans="2:3" x14ac:dyDescent="0.45">
      <c r="C7" s="11" t="s">
        <v>59</v>
      </c>
    </row>
    <row r="9" spans="2:3" x14ac:dyDescent="0.45">
      <c r="B9" t="s">
        <v>60</v>
      </c>
    </row>
    <row r="52" spans="2:4" x14ac:dyDescent="0.45">
      <c r="B52" t="s">
        <v>61</v>
      </c>
    </row>
    <row r="53" spans="2:4" x14ac:dyDescent="0.45">
      <c r="C53" t="s">
        <v>62</v>
      </c>
    </row>
    <row r="54" spans="2:4" x14ac:dyDescent="0.45">
      <c r="D54" t="s">
        <v>63</v>
      </c>
    </row>
    <row r="64" spans="2:4" x14ac:dyDescent="0.45">
      <c r="D64" t="s">
        <v>64</v>
      </c>
    </row>
    <row r="75" spans="4:4" x14ac:dyDescent="0.45">
      <c r="D75" t="s">
        <v>65</v>
      </c>
    </row>
    <row r="111" spans="4:4" x14ac:dyDescent="0.45">
      <c r="D111" t="s">
        <v>66</v>
      </c>
    </row>
  </sheetData>
  <hyperlinks>
    <hyperlink ref="C7" r:id="rId1" xr:uid="{4535D512-7338-4859-B798-CDE06D91E1EF}"/>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12519-E246-4164-B6EB-8CF9754E11CF}">
  <sheetPr codeName="Sheet4"/>
  <dimension ref="B1"/>
  <sheetViews>
    <sheetView workbookViewId="0">
      <selection activeCell="N16" sqref="N16"/>
    </sheetView>
  </sheetViews>
  <sheetFormatPr defaultRowHeight="14.25" x14ac:dyDescent="0.45"/>
  <sheetData>
    <row r="1" spans="2:2" x14ac:dyDescent="0.45">
      <c r="B1" t="s">
        <v>92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20</vt:i4>
      </vt:variant>
    </vt:vector>
  </HeadingPairs>
  <TitlesOfParts>
    <vt:vector size="23" baseType="lpstr">
      <vt:lpstr>Options</vt:lpstr>
      <vt:lpstr>Help</vt:lpstr>
      <vt:lpstr>License</vt:lpstr>
      <vt:lpstr>AddToExcel</vt:lpstr>
      <vt:lpstr>CalcTestCaseResults</vt:lpstr>
      <vt:lpstr>ForceStoreInMemoryForAddresses</vt:lpstr>
      <vt:lpstr>InputFileAsLibrary</vt:lpstr>
      <vt:lpstr>LangID</vt:lpstr>
      <vt:lpstr>ReadFromXML</vt:lpstr>
      <vt:lpstr>ReadWritePath</vt:lpstr>
      <vt:lpstr>setLangName</vt:lpstr>
      <vt:lpstr>ShortcutCalculations</vt:lpstr>
      <vt:lpstr>StrictInputColor</vt:lpstr>
      <vt:lpstr>StrictMode</vt:lpstr>
      <vt:lpstr>StrictOutputColor</vt:lpstr>
      <vt:lpstr>StrictTestCasesInputColor</vt:lpstr>
      <vt:lpstr>TeraAddDebugSteps</vt:lpstr>
      <vt:lpstr>TeraMinimalScript</vt:lpstr>
      <vt:lpstr>TeraSchema</vt:lpstr>
      <vt:lpstr>UseNamedRanges</vt:lpstr>
      <vt:lpstr>XMLFileName</vt:lpstr>
      <vt:lpstr>XMLFunctionLibraryPath</vt:lpstr>
      <vt:lpstr>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2023-09-09T14:49:12Z</dcterms:created>
  <dcterms:modified xsi:type="dcterms:W3CDTF">2023-09-27T05:05:39Z</dcterms:modified>
</cp:coreProperties>
</file>