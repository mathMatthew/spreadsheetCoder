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B1A144DC-6612-4292-AC62-8DC38DA83C5A}" xr6:coauthVersionLast="47" xr6:coauthVersionMax="47" xr10:uidLastSave="{00000000-0000-0000-0000-000000000000}"/>
  <bookViews>
    <workbookView xWindow="-110" yWindow="-110" windowWidth="38620" windowHeight="21100" xr2:uid="{C110BAB0-99CA-4E55-BC17-C59AE470AB32}"/>
  </bookViews>
  <sheets>
    <sheet name="Options" sheetId="2" r:id="rId1"/>
  </sheets>
  <functionGroups builtInGroupCount="19"/>
  <definedNames>
    <definedName name="AddToExcel">Options!$C$18</definedName>
    <definedName name="CalcTestCaseResults">Options!$C$36</definedName>
    <definedName name="ExcelStrictForm">Options!$C$21</definedName>
    <definedName name="ExcelStrictInputColor">Options!$C$24</definedName>
    <definedName name="ExcelStrictOutputColor">Options!$C$27</definedName>
    <definedName name="LangID">Options!$C$7</definedName>
    <definedName name="ReadFromXML">Options!$C$11</definedName>
    <definedName name="TeraHelperFunctions">Options!$C$33</definedName>
    <definedName name="TeraSchema">Options!$C$30</definedName>
    <definedName name="XMLFileName">Options!$C$14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 a="1"/>
  <c r="C11" i="2" s="1"/>
  <c r="C6" i="2"/>
  <c r="C7" i="2" s="1" a="1"/>
  <c r="C7" i="2" s="1"/>
  <c r="C18" i="2" l="1" a="1"/>
  <c r="C1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<sst xmlns="http://schemas.openxmlformats.org/spreadsheetml/2006/main" count="52" uniqueCount="37">
  <si>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</si>
  <si>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</si>
  <si>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</si>
  <si>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</si>
  <si>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</si>
  <si>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</si>
  <si>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</si>
  <si>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</si>
  <si>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</si>
  <si>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</si>
  <si>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</si>
  <si>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</si>
  <si>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</si>
  <si>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</si>
  <si>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SQL - 2K</t>
  </si>
  <si>
    <t>Test cases, outputs already calculated</t>
  </si>
  <si>
    <t>OptID</t>
  </si>
  <si>
    <t>SQL - Simple</t>
  </si>
  <si>
    <t>Test cases, calculate outputs - automatic overwrite</t>
  </si>
  <si>
    <t>SQL - Tera - Function</t>
  </si>
  <si>
    <t>Test cases, calculate outputs - target cells blank</t>
  </si>
  <si>
    <t>Read From XML File</t>
  </si>
  <si>
    <t>SQL - Tera - Proc</t>
  </si>
  <si>
    <t>SQL - Tera - Script</t>
  </si>
  <si>
    <t>Value</t>
  </si>
  <si>
    <t>Do Not Edit</t>
  </si>
  <si>
    <t>VB - Complex</t>
  </si>
  <si>
    <t>XML File Name</t>
  </si>
  <si>
    <t>XML</t>
  </si>
  <si>
    <t>VBA - Add to Excel File</t>
  </si>
  <si>
    <t>Default</t>
  </si>
  <si>
    <t>VBA - Excel Strict Form</t>
  </si>
  <si>
    <t>Excel Strict - Input Color (RGB)</t>
  </si>
  <si>
    <t>Excel Strict - Output Color (RGB)</t>
  </si>
  <si>
    <t>TeraData: Object Database Name</t>
  </si>
  <si>
    <t>abc</t>
  </si>
  <si>
    <t>TeraData: Add Helper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</si>
</sst>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CDC39B-E6A0-44E0-8A48-79EE5A89901C}" name="LangOptions" displayName="LangOptions" ref="G3:J13" totalsRowShown="0">
  <autoFilter ref="G3:J13" xr:uid="{99AB88F3-56B2-405A-BDF3-7B32D79309CD}"/>
  <tableColumns count="4">
    <tableColumn id="1" xr3:uid="{D9E88B44-DBD7-40AE-9A67-039229B9BFD0}" name="Option"/>
    <tableColumn id="2" xr3:uid="{5E628C81-E6C3-440E-8D77-A805709546F7}" name="VB"/>
    <tableColumn id="4" xr3:uid="{B90464AB-17CA-4C1E-8289-91AB173B0874}" name="D_ReadFromFile"/>
    <tableColumn id="3" xr3:uid="{147F8E86-D594-42D0-8882-3961A6C89887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EFC5A-63BC-4722-8F65-394B35E0B3B6}">
  <sheetPr codeName="Sheet2"/>
  <dimension ref="B2:P36"/>
  <sheetViews>
    <sheetView tabSelected="1" workbookViewId="0">
      <selection activeCell="F40" sqref="F40"/>
    </sheetView>
  </sheetViews>
  <sheetFormatPr defaultRowHeight="14.5" x14ac:dyDescent="0.35"/>
  <cols>
    <col min="3" max="3" width="41.90625" customWidth="1"/>
    <col min="7" max="7" width="21.1796875" customWidth="1"/>
    <col min="9" max="9" width="18.36328125" customWidth="1"/>
    <col min="10" max="10" width="10.6328125" customWidth="1"/>
    <col min="16" max="16" width="43.81640625" customWidth="1"/>
  </cols>
  <sheetData>
    <row r="2" spans="2:16" x14ac:dyDescent="0.35">
      <c r="B2" t="s">
        <v>0</v>
      </c>
    </row>
    <row r="3" spans="2:16" x14ac:dyDescent="0.35">
      <c r="G3" t="s">
        <v>1</v>
      </c>
      <c r="H3" t="s">
        <v>2</v>
      </c>
      <c r="I3" t="s">
        <v>3</v>
      </c>
      <c r="J3" t="s">
        <v>4</v>
      </c>
      <c r="N3" s="1" t="b">
        <v>1</v>
      </c>
      <c r="P3" s="2" t="s">
        <v>5</v>
      </c>
    </row>
    <row r="4" spans="2:16" x14ac:dyDescent="0.35">
      <c r="B4" s="3" t="s">
        <v>6</v>
      </c>
      <c r="G4" t="s">
        <v>7</v>
      </c>
      <c r="H4" t="b">
        <v>0</v>
      </c>
      <c r="I4" t="b">
        <v>0</v>
      </c>
      <c r="J4">
        <v>10</v>
      </c>
      <c r="N4" s="4" t="b">
        <v>0</v>
      </c>
      <c r="P4" s="4" t="s">
        <v>8</v>
      </c>
    </row>
    <row r="5" spans="2:16" x14ac:dyDescent="0.35">
      <c r="B5" t="s">
        <v>9</v>
      </c>
      <c r="C5" s="5" t="s">
        <v>10</v>
      </c>
      <c r="G5" t="s">
        <v>11</v>
      </c>
      <c r="H5" t="b">
        <v>0</v>
      </c>
      <c r="I5" t="b">
        <v>1</v>
      </c>
      <c r="J5">
        <v>4</v>
      </c>
      <c r="P5" s="1" t="s">
        <v>12</v>
      </c>
    </row>
    <row r="6" spans="2:16" x14ac:dyDescent="0.35">
      <c r="B6" t="s">
        <v>13</v>
      </c>
      <c r="C6">
        <f>MATCH(C5,LangOptions[Option], 0)</f>
        <v>9</v>
      </c>
      <c r="G6" t="s">
        <v>14</v>
      </c>
      <c r="H6" t="b">
        <v>0</v>
      </c>
      <c r="I6" t="b">
        <v>1</v>
      </c>
      <c r="J6">
        <v>6</v>
      </c>
      <c r="P6" s="4" t="s">
        <v>15</v>
      </c>
    </row>
    <row r="7" spans="2:16" x14ac:dyDescent="0.35">
      <c r="B7" t="s">
        <v>16</v>
      </c>
      <c r="C7" cm="1">
        <f t="array" ref="C7">INDEX(LangOptions[OptionID],C6)</f>
        <v>1</v>
      </c>
      <c r="G7" t="s">
        <v>17</v>
      </c>
      <c r="H7" t="b">
        <v>0</v>
      </c>
      <c r="I7" t="b">
        <v>1</v>
      </c>
      <c r="J7">
        <v>2</v>
      </c>
      <c r="P7" s="1" t="s">
        <v>18</v>
      </c>
    </row>
    <row r="8" spans="2:16" x14ac:dyDescent="0.35">
      <c r="G8" t="s">
        <v>19</v>
      </c>
      <c r="H8" t="b">
        <v>0</v>
      </c>
      <c r="I8" t="b">
        <v>1</v>
      </c>
      <c r="J8">
        <v>8</v>
      </c>
      <c r="P8" s="4" t="s">
        <v>20</v>
      </c>
    </row>
    <row r="9" spans="2:16" x14ac:dyDescent="0.35">
      <c r="B9" s="3" t="s">
        <v>21</v>
      </c>
      <c r="G9" t="s">
        <v>22</v>
      </c>
      <c r="H9" t="b">
        <v>0</v>
      </c>
      <c r="I9" t="b">
        <v>1</v>
      </c>
      <c r="J9">
        <v>9</v>
      </c>
    </row>
    <row r="10" spans="2:16" x14ac:dyDescent="0.35">
      <c r="B10" t="s">
        <v>9</v>
      </c>
      <c r="C10" s="5" t="s">
        <v>30</v>
      </c>
      <c r="G10" t="s">
        <v>23</v>
      </c>
      <c r="H10" t="b">
        <v>0</v>
      </c>
      <c r="I10" t="b">
        <v>1</v>
      </c>
      <c r="J10">
        <v>7</v>
      </c>
    </row>
    <row r="11" spans="2:16" x14ac:dyDescent="0.35">
      <c r="B11" t="s">
        <v>24</v>
      </c>
      <c r="C11" s="6" t="b" cm="1">
        <f t="array" ref="C11">IF(C10="Default",INDEX(LangOptions[D_ReadFromFile],$C$6),C10)</f>
        <v>0</v>
      </c>
      <c r="D11" t="s">
        <v>25</v>
      </c>
      <c r="G11" t="s">
        <v>26</v>
      </c>
      <c r="H11" t="b">
        <v>1</v>
      </c>
      <c r="I11" t="b">
        <v>1</v>
      </c>
      <c r="J11">
        <v>3</v>
      </c>
    </row>
    <row r="12" spans="2:16" x14ac:dyDescent="0.35">
      <c r="G12" t="s">
        <v>10</v>
      </c>
      <c r="H12" t="b">
        <v>1</v>
      </c>
      <c r="I12" t="b">
        <v>0</v>
      </c>
      <c r="J12">
        <v>1</v>
      </c>
    </row>
    <row r="13" spans="2:16" x14ac:dyDescent="0.35">
      <c r="B13" s="3" t="s">
        <v>27</v>
      </c>
      <c r="G13" t="s">
        <v>28</v>
      </c>
      <c r="H13" t="b">
        <v>0</v>
      </c>
      <c r="I13" t="b">
        <v>0</v>
      </c>
      <c r="J13">
        <v>5</v>
      </c>
    </row>
    <row r="14" spans="2:16" x14ac:dyDescent="0.35">
      <c r="B14" t="s">
        <v>9</v>
      </c>
      <c r="C14" s="5"/>
    </row>
    <row r="16" spans="2:16" x14ac:dyDescent="0.35">
      <c r="B16" s="3" t="s">
        <v>29</v>
      </c>
    </row>
    <row r="17" spans="2:4" x14ac:dyDescent="0.35">
      <c r="B17" t="s">
        <v>9</v>
      </c>
      <c r="C17" s="5" t="s">
        <v>30</v>
      </c>
    </row>
    <row r="18" spans="2:4" x14ac:dyDescent="0.35">
      <c r="B18" t="s">
        <v>24</v>
      </c>
      <c r="C18" s="7" t="b" cm="1">
        <f t="array" ref="C18">IF(C17="Default",INDEX(LangOptions[VB],$C$6),C17)</f>
        <v>1</v>
      </c>
      <c r="D18" t="s">
        <v>25</v>
      </c>
    </row>
    <row r="20" spans="2:4" x14ac:dyDescent="0.35">
      <c r="B20" s="3" t="s">
        <v>31</v>
      </c>
    </row>
    <row r="21" spans="2:4" x14ac:dyDescent="0.35">
      <c r="B21" t="s">
        <v>9</v>
      </c>
      <c r="C21" s="5" t="b">
        <v>1</v>
      </c>
    </row>
    <row r="23" spans="2:4" x14ac:dyDescent="0.35">
      <c r="B23" s="3" t="s">
        <v>32</v>
      </c>
    </row>
    <row r="24" spans="2:4" x14ac:dyDescent="0.35">
      <c r="B24" t="s">
        <v>9</v>
      </c>
      <c r="C24" s="5">
        <v>6750207</v>
      </c>
      <c r="D24" s="8"/>
    </row>
    <row r="26" spans="2:4" x14ac:dyDescent="0.35">
      <c r="B26" s="3" t="s">
        <v>33</v>
      </c>
    </row>
    <row r="27" spans="2:4" x14ac:dyDescent="0.35">
      <c r="B27" t="s">
        <v>9</v>
      </c>
      <c r="C27" s="5">
        <v>14121904</v>
      </c>
      <c r="D27" s="9"/>
    </row>
    <row r="29" spans="2:4" x14ac:dyDescent="0.35">
      <c r="B29" s="3" t="s">
        <v>34</v>
      </c>
    </row>
    <row r="30" spans="2:4" x14ac:dyDescent="0.35">
      <c r="B30" t="s">
        <v>9</v>
      </c>
      <c r="C30" s="5" t="s">
        <v>35</v>
      </c>
    </row>
    <row r="32" spans="2:4" x14ac:dyDescent="0.35">
      <c r="B32" s="3" t="s">
        <v>36</v>
      </c>
    </row>
    <row r="33" spans="2:3" x14ac:dyDescent="0.35">
      <c r="B33" t="s">
        <v>9</v>
      </c>
      <c r="C33" s="5" t="b">
        <v>1</v>
      </c>
    </row>
    <row r="35" spans="2:3" x14ac:dyDescent="0.35">
      <c r="B35" s="3" t="s">
        <v>5</v>
      </c>
    </row>
    <row r="36" spans="2:3" x14ac:dyDescent="0.35">
      <c r="B36" t="s">
        <v>9</v>
      </c>
      <c r="C36" s="5" t="s">
        <v>18</v>
      </c>
    </row>
  </sheetData>
  <dataValidations count="4">
    <dataValidation type="list" allowBlank="1" showInputMessage="1" showErrorMessage="1" sqref="C33 C21" xr:uid="{939364E2-15B3-430F-8E28-56F541515808}">
      <formula1>$N$3:$N$4</formula1>
    </dataValidation>
    <dataValidation type="list" allowBlank="1" showInputMessage="1" showErrorMessage="1" sqref="C36" xr:uid="{66BE7BB8-CF03-4C7B-996D-683AF795D1B9}">
      <formula1>$P$4:$P$8</formula1>
    </dataValidation>
    <dataValidation type="list" allowBlank="1" showInputMessage="1" showErrorMessage="1" sqref="C10 C17" xr:uid="{51FC5B18-F828-4E56-90A4-E42840A94F8E}">
      <formula1>"True,False,Default"</formula1>
    </dataValidation>
    <dataValidation type="list" allowBlank="1" showInputMessage="1" showErrorMessage="1" sqref="C5" xr:uid="{AD44E99A-9090-461F-A141-9E1530FEC47E}">
      <formula1>$G$4:$G$13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LangID</vt:lpstr>
      <vt:lpstr>ReadFromXML</vt:lpstr>
      <vt:lpstr>TeraHelperFunctions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2023-02-06T01:42:10Z</dcterms:created>
  <dcterms:modified xsi:type="dcterms:W3CDTF">2023-02-08T07:18:54Z</dcterms:modified>
</cp:coreProperties>
</file>