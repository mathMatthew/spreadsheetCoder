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2B4649D9-F217-4FB5-BA25-37A8EE7F5183}" xr6:coauthVersionLast="47" xr6:coauthVersionMax="47" xr10:uidLastSave="{00000000-0000-0000-0000-000000000000}"/>
  <bookViews>
    <workbookView xWindow="-110" yWindow="-110" windowWidth="19420" windowHeight="11500" xr2:uid="{2DF4D85E-909D-4C50-A11F-AE5F0EC1C9AD}"/>
  </bookViews>
  <sheets>
    <sheet name="Options" sheetId="1" r:id="rId1"/>
    <sheet name="Reference" sheetId="2" r:id="rId2"/>
  </sheets>
  <functionGroups builtInGroupCount="19"/>
  <definedNames>
    <definedName name="AddToExcel">Options!$C$52</definedName>
    <definedName name="CalcTestCaseResults">Options!$C$22</definedName>
    <definedName name="ForceStoreInMemoryForAddresses">Options!$C$34</definedName>
    <definedName name="InputFileAsLibrary">Options!$C$38</definedName>
    <definedName name="LangID">Options!$C$9</definedName>
    <definedName name="ReadFromXML">Options!$C$14</definedName>
    <definedName name="ReadWritePath">Options!$C$26</definedName>
    <definedName name="StrictInputColor">Options!$C$71</definedName>
    <definedName name="StrictMode">Options!$C$68</definedName>
    <definedName name="StrictOutputColor">Options!$C$74</definedName>
    <definedName name="StrictTestCasesInputColor">Options!$C$77</definedName>
    <definedName name="TeraHelperFunctions">Options!$C$88</definedName>
    <definedName name="TeraReferenceTables">Options!$C$92</definedName>
    <definedName name="TeraSchema">Options!$C$84</definedName>
    <definedName name="UseNamedRanges">Options!$C$46</definedName>
    <definedName name="XMLFileName">Options!$C$18</definedName>
    <definedName name="XMLLibraryPath">Options!$C$30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 l="1"/>
  <c r="C9" i="1" l="1" a="1"/>
  <c r="C9" i="1" s="1"/>
  <c r="C14" i="1" a="1"/>
  <c r="C14" i="1" s="1"/>
  <c r="C52" i="1" a="1"/>
  <c r="C5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<sst xmlns="http://schemas.openxmlformats.org/spreadsheetml/2006/main" count="124" uniqueCount="87">
  <si>
    <t>Option</t>
  </si>
  <si>
    <t>VB</t>
  </si>
  <si>
    <t>D_ReadFromFile</t>
  </si>
  <si>
    <t>OptionID</t>
  </si>
  <si>
    <t>Test Cases</t>
  </si>
  <si>
    <t>Target Language</t>
  </si>
  <si>
    <t>Excel</t>
  </si>
  <si>
    <t>No test cases</t>
  </si>
  <si>
    <t>Edit</t>
  </si>
  <si>
    <t>VB - Simple</t>
  </si>
  <si>
    <t>JS - Simple</t>
  </si>
  <si>
    <t>Test cases, inputs only</t>
  </si>
  <si>
    <t>Row</t>
  </si>
  <si>
    <t>Do Not Edit</t>
  </si>
  <si>
    <t>SQL - 2K</t>
  </si>
  <si>
    <t>Test cases, outputs already calculated</t>
  </si>
  <si>
    <t>OptID</t>
  </si>
  <si>
    <t>SQL - Simple</t>
  </si>
  <si>
    <t>Test cases, calculate outputs - target cells blank</t>
  </si>
  <si>
    <t>SQL - Tera - Function</t>
  </si>
  <si>
    <t>Test cases, calculate outputs - automatic overwrite</t>
  </si>
  <si>
    <t>Read From XML File</t>
  </si>
  <si>
    <t>SQL - Tera - Proc</t>
  </si>
  <si>
    <t>Test cases, calculate &amp; compare outputs - automatic overwrite</t>
  </si>
  <si>
    <t>Default</t>
  </si>
  <si>
    <t>SQL - Tera - Script</t>
  </si>
  <si>
    <t>Value</t>
  </si>
  <si>
    <t>VB - Complex</t>
  </si>
  <si>
    <t>Use Named Ranges</t>
  </si>
  <si>
    <t>XML File Name</t>
  </si>
  <si>
    <t>XML</t>
  </si>
  <si>
    <t>Don't Use</t>
  </si>
  <si>
    <t>Ask if found / ask to update</t>
  </si>
  <si>
    <t>Ask if found / auto-update</t>
  </si>
  <si>
    <t>VBA - Add to Excel File</t>
  </si>
  <si>
    <t>Excel Strict - Input Color (RGB)</t>
  </si>
  <si>
    <t>Excel Strict - Output Color (RGB)</t>
  </si>
  <si>
    <t>abc</t>
  </si>
  <si>
    <t>Use named ranges for inputs / outputs</t>
  </si>
  <si>
    <t>PlaceholderName</t>
  </si>
  <si>
    <t>Use if found</t>
  </si>
  <si>
    <t>Excel Strict - TestCasesInputsColor (RGB)</t>
  </si>
  <si>
    <t>Force all cell-level calcs to store results</t>
  </si>
  <si>
    <t>Test cases</t>
  </si>
  <si>
    <t>TeraData: add helper functions</t>
  </si>
  <si>
    <t>TeraData: object database name</t>
  </si>
  <si>
    <t>Use input file as library</t>
  </si>
  <si>
    <t>To Do:</t>
  </si>
  <si>
    <t>Description</t>
  </si>
  <si>
    <t>Purpose</t>
  </si>
  <si>
    <t>General Settings</t>
  </si>
  <si>
    <t>What language do you want to transalate into?</t>
  </si>
  <si>
    <t>Strict mode settings</t>
  </si>
  <si>
    <t>This macro translates Excel calculations into another programming language.</t>
  </si>
  <si>
    <t>Where do we find the logic to translate?
True = from an XML file in the format this macro creates XML files;
False = get from Excel interactively asking the user for inputs and outputs;
Default = as defined by target's default (see reference table)</t>
  </si>
  <si>
    <t>do we want to add loops?</t>
  </si>
  <si>
    <t>"Use input file as library" must be true</t>
  </si>
  <si>
    <t>"VBA Add to Excel" must be true</t>
  </si>
  <si>
    <t>"Target language" must be VB Simple. (May update this later to include VB Complex as well)</t>
  </si>
  <si>
    <t>Must define at minimum 5 test cases for the function</t>
  </si>
  <si>
    <t xml:space="preserve">Define a custom function on its own sheet. All inputs, ouptputs, calculations and test cases must be on that Excel sheet. </t>
  </si>
  <si>
    <t>VBA Settings</t>
  </si>
  <si>
    <t>What happens to genarated code?
True = adds the code to a module VBA module of the same file so that the custom function can be called from within Excel (only applicable when target = VBA language; otherwise ignored);
False = saves the code to a file;
Default = as defined by target's default (see reference table)</t>
  </si>
  <si>
    <t>Strict mode forces you to follow best practices. Additionally, if you translate to VB Simple it will allow you to quickly view the calculations of your custom functions when you use them in Excel. Just press "ctrl+d" (d for drill) on a cell with a custom function, and SpreadsheetCoder will take you to that function, showing the inputs used from the cell. "Ctrl-r" (r for return) will return you where you were. Custom functions can be nested.</t>
  </si>
  <si>
    <t xml:space="preserve">Don't define named ranges for input or output. Allow SpreadsheetCoder to give them named-range names. </t>
  </si>
  <si>
    <t>Strict Mode</t>
  </si>
  <si>
    <t>It's best practice to use test cases to validate that the calculations match the expected output.</t>
  </si>
  <si>
    <t>As part of compiling, SpreadsheetCoder makes decisions about when to store the results and when to calculate it without storing. For debugging it can sometimes be easier to store all cell values. This will allow you to do that.</t>
  </si>
  <si>
    <t>XML Library path</t>
  </si>
  <si>
    <t xml:space="preserve">Full path of where to find the XML Library or use "Default" and path will be the subfolder "SpreadsheetCoder/XMLFunctions" in the defined user profile directory.
Note the purpose of the library is to allow a target language to support a function without a direct translation. If a target language doesn't have direct support for a specific function, but the function is in the library, then the library XML definition is used to break down the function into smaller functions. </t>
  </si>
  <si>
    <t xml:space="preserve">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</si>
  <si>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</si>
  <si>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</si>
  <si>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</si>
  <si>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</si>
  <si>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Having named ranges for the inputs and outputs is handy especially when generating a function multiple times. See 'table' below for details on options. Note: strict mode requires named ranges be set for the function.</t>
  </si>
  <si>
    <t>"Use named ranges for inputs / outputs" should be some value other than "don't use" given strict mode requires input / output ranges are set.</t>
  </si>
  <si>
    <t>Strict Mode Requirements</t>
  </si>
  <si>
    <t>TeraData</t>
  </si>
  <si>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</si>
  <si>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Objects are prefixed with this name.</t>
  </si>
  <si>
    <t>TeraData: add reference tables</t>
  </si>
  <si>
    <t xml:space="preserve">Currently the only helper table is drop_table_if. </t>
  </si>
  <si>
    <t>Typically use True. Use False if the reference tables already exist on the server with the correct name and structure and the data you want in it.</t>
  </si>
  <si>
    <t>If Read From XML File = TRUE, what is the name of the XML file to read from? Note XML file must be saved in the ReadWrite directory.</t>
  </si>
  <si>
    <t>Read / Write Path</t>
  </si>
  <si>
    <t>Full path of where to save files or use "Default" and path will be the subfolder named "SpreadsheetCoder" in the defined user profile directory.  The keyword "ThisPath" will use the path of the workbook the macro is run from.  This is also the path used to read XML files from.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</si>
</sst>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b/>
      <sz val="11"/>
      <color theme="1"/>
      <name val="Calibri"/>
      <family val="2"/>
      <scheme val="minor"/>
    </font>
    <font>
      <sz val="11"/>
      <color theme="1"/>
      <name val="Consolas"/>
      <family val="3"/>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16">
    <xf numFmtId="0" fontId="0" fillId="0" borderId="0" xfId="0"/>
    <xf numFmtId="0" fontId="0" fillId="2" borderId="1" xfId="0" applyFill="1" applyBorder="1"/>
    <xf numFmtId="0" fontId="1" fillId="3" borderId="1" xfId="0" applyFont="1" applyFill="1" applyBorder="1"/>
    <xf numFmtId="0" fontId="2" fillId="0" borderId="0" xfId="0" applyFont="1"/>
    <xf numFmtId="0" fontId="0" fillId="0" borderId="1" xfId="0" applyBorder="1"/>
    <xf numFmtId="0" fontId="0" fillId="4" borderId="0" xfId="0" applyFill="1"/>
    <xf numFmtId="0" fontId="0" fillId="5" borderId="0" xfId="0" applyFill="1"/>
    <xf numFmtId="0" fontId="0" fillId="5" borderId="0" xfId="0" applyFill="1" applyAlignment="1">
      <alignment horizontal="center"/>
    </xf>
    <xf numFmtId="0" fontId="0" fillId="6" borderId="0" xfId="0" applyFill="1"/>
    <xf numFmtId="0" fontId="0" fillId="7" borderId="0" xfId="0" applyFill="1"/>
    <xf numFmtId="0" fontId="0" fillId="8" borderId="0" xfId="0" applyFill="1"/>
    <xf numFmtId="0" fontId="0" fillId="0" borderId="0" xfId="0" applyAlignment="1">
      <alignment wrapText="1"/>
    </xf>
    <xf numFmtId="0" fontId="0" fillId="0" borderId="0" xfId="0" applyAlignment="1">
      <alignment vertical="top"/>
    </xf>
    <xf numFmtId="0" fontId="3" fillId="0" borderId="0" xfId="0" applyFont="1"/>
    <xf numFmtId="0" fontId="0" fillId="0" borderId="0" xfId="0" applyAlignment="1">
      <alignment horizontal="left" vertical="top" wrapText="1"/>
    </xf>
    <xf numFmtId="0" fontId="0" fillId="0" borderId="0" xfId="0"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A0EB0D-DF80-4BC6-9BE4-5844AC7660F9}" name="LangOptions" displayName="LangOptions" ref="B3:E13" totalsRowShown="0">
  <autoFilter ref="B3:E13" xr:uid="{BFA0EB0D-DF80-4BC6-9BE4-5844AC7660F9}"/>
  <tableColumns count="4">
    <tableColumn id="1" xr3:uid="{F3C37CAE-85E6-4621-9313-2A7088AD7A79}" name="Option"/>
    <tableColumn id="2" xr3:uid="{54540916-F08E-4C2D-B5EA-04311A76F5C9}" name="VB"/>
    <tableColumn id="4" xr3:uid="{4D4952EF-F691-45B4-A128-6BB845643C48}" name="D_ReadFromFile"/>
    <tableColumn id="3" xr3:uid="{7DAD83D9-B717-4042-BDD7-CA65C6328FAE}"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8A16A-E4BF-409C-92CD-2193A4EBFAF9}">
  <sheetPr codeName="Sheet1"/>
  <dimension ref="A1:G92"/>
  <sheetViews>
    <sheetView tabSelected="1" topLeftCell="A2" workbookViewId="0">
      <selection activeCell="C10" sqref="C10"/>
    </sheetView>
  </sheetViews>
  <sheetFormatPr defaultRowHeight="14.5" x14ac:dyDescent="0.35"/>
  <cols>
    <col min="1" max="1" width="6.7265625" customWidth="1"/>
    <col min="2" max="2" width="11.453125" customWidth="1"/>
    <col min="3" max="3" width="86" customWidth="1"/>
    <col min="7" max="7" width="19.6328125" customWidth="1"/>
    <col min="9" max="9" width="16.6328125" customWidth="1"/>
    <col min="14" max="14" width="55.1796875" customWidth="1"/>
  </cols>
  <sheetData>
    <row r="1" spans="1:7" x14ac:dyDescent="0.35">
      <c r="A1" s="3" t="s">
        <v>49</v>
      </c>
      <c r="G1" t="s">
        <v>47</v>
      </c>
    </row>
    <row r="2" spans="1:7" x14ac:dyDescent="0.35">
      <c r="B2" s="14" t="s">
        <v>53</v>
      </c>
      <c r="C2" s="14"/>
      <c r="D2" s="14"/>
      <c r="E2" s="14"/>
      <c r="G2" t="s">
        <v>55</v>
      </c>
    </row>
    <row r="4" spans="1:7" x14ac:dyDescent="0.35">
      <c r="A4" s="3" t="s">
        <v>50</v>
      </c>
    </row>
    <row r="5" spans="1:7" x14ac:dyDescent="0.35">
      <c r="B5" s="3" t="s">
        <v>5</v>
      </c>
    </row>
    <row r="6" spans="1:7" x14ac:dyDescent="0.35">
      <c r="B6" t="s">
        <v>48</v>
      </c>
      <c r="C6" t="s">
        <v>51</v>
      </c>
    </row>
    <row r="7" spans="1:7" x14ac:dyDescent="0.35">
      <c r="B7" t="s">
        <v>8</v>
      </c>
      <c r="C7" s="5" t="s">
        <v>25</v>
      </c>
    </row>
    <row r="8" spans="1:7" x14ac:dyDescent="0.35">
      <c r="B8" t="s">
        <v>12</v>
      </c>
      <c r="C8" s="6">
        <f>MATCH(C7,LangOptions[Option], 0)</f>
        <v>7</v>
      </c>
      <c r="D8" t="s">
        <v>13</v>
      </c>
    </row>
    <row r="9" spans="1:7" x14ac:dyDescent="0.35">
      <c r="B9" t="s">
        <v>16</v>
      </c>
      <c r="C9" s="6" cm="1">
        <f t="array" ref="C9">INDEX(LangOptions[OptionID],C8)</f>
        <v>7</v>
      </c>
      <c r="D9" t="s">
        <v>13</v>
      </c>
    </row>
    <row r="11" spans="1:7" x14ac:dyDescent="0.35">
      <c r="B11" s="3" t="s">
        <v>21</v>
      </c>
    </row>
    <row r="12" spans="1:7" ht="57" customHeight="1" x14ac:dyDescent="0.35">
      <c r="B12" s="12" t="s">
        <v>48</v>
      </c>
      <c r="C12" s="11" t="s">
        <v>54</v>
      </c>
    </row>
    <row r="13" spans="1:7" x14ac:dyDescent="0.35">
      <c r="B13" t="s">
        <v>8</v>
      </c>
      <c r="C13" s="5" t="b">
        <v>0</v>
      </c>
    </row>
    <row r="14" spans="1:7" x14ac:dyDescent="0.35">
      <c r="B14" t="s">
        <v>26</v>
      </c>
      <c r="C14" s="6" t="b" cm="1">
        <f t="array" ref="C14">IF(C13="Default",INDEX(LangOptions[D_ReadFromFile],$C$8),C13)</f>
        <v>0</v>
      </c>
      <c r="D14" t="s">
        <v>13</v>
      </c>
    </row>
    <row r="16" spans="1:7" x14ac:dyDescent="0.35">
      <c r="B16" s="3" t="s">
        <v>29</v>
      </c>
    </row>
    <row r="17" spans="2:3" ht="29" x14ac:dyDescent="0.35">
      <c r="B17" s="12" t="s">
        <v>48</v>
      </c>
      <c r="C17" s="11" t="s">
        <v>84</v>
      </c>
    </row>
    <row r="18" spans="2:3" x14ac:dyDescent="0.35">
      <c r="B18" t="s">
        <v>8</v>
      </c>
      <c r="C18" s="5" t="s">
        <v>39</v>
      </c>
    </row>
    <row r="20" spans="2:3" x14ac:dyDescent="0.35">
      <c r="B20" s="3" t="s">
        <v>43</v>
      </c>
    </row>
    <row r="21" spans="2:3" x14ac:dyDescent="0.35">
      <c r="B21" s="12" t="s">
        <v>48</v>
      </c>
      <c r="C21" s="11" t="s">
        <v>66</v>
      </c>
    </row>
    <row r="22" spans="2:3" x14ac:dyDescent="0.35">
      <c r="B22" t="s">
        <v>8</v>
      </c>
      <c r="C22" s="5" t="s">
        <v>7</v>
      </c>
    </row>
    <row r="24" spans="2:3" x14ac:dyDescent="0.35">
      <c r="B24" s="3" t="s">
        <v>85</v>
      </c>
    </row>
    <row r="25" spans="2:3" ht="43.5" x14ac:dyDescent="0.35">
      <c r="B25" s="12" t="s">
        <v>48</v>
      </c>
      <c r="C25" s="11" t="s">
        <v>86</v>
      </c>
    </row>
    <row r="26" spans="2:3" x14ac:dyDescent="0.35">
      <c r="B26" t="s">
        <v>8</v>
      </c>
      <c r="C26" s="5" t="s">
        <v>24</v>
      </c>
    </row>
    <row r="28" spans="2:3" x14ac:dyDescent="0.35">
      <c r="B28" s="3" t="s">
        <v>68</v>
      </c>
    </row>
    <row r="29" spans="2:3" ht="87" x14ac:dyDescent="0.35">
      <c r="B29" s="12" t="s">
        <v>48</v>
      </c>
      <c r="C29" s="11" t="s">
        <v>69</v>
      </c>
    </row>
    <row r="30" spans="2:3" x14ac:dyDescent="0.35">
      <c r="B30" t="s">
        <v>8</v>
      </c>
      <c r="C30" s="5" t="s">
        <v>24</v>
      </c>
    </row>
    <row r="32" spans="2:3" x14ac:dyDescent="0.35">
      <c r="B32" s="3" t="s">
        <v>42</v>
      </c>
    </row>
    <row r="33" spans="1:3" ht="43.5" x14ac:dyDescent="0.35">
      <c r="B33" s="12" t="s">
        <v>48</v>
      </c>
      <c r="C33" s="11" t="s">
        <v>67</v>
      </c>
    </row>
    <row r="34" spans="1:3" x14ac:dyDescent="0.35">
      <c r="B34" t="s">
        <v>8</v>
      </c>
      <c r="C34" s="5" t="b">
        <v>0</v>
      </c>
    </row>
    <row r="36" spans="1:3" x14ac:dyDescent="0.35">
      <c r="B36" s="3" t="s">
        <v>46</v>
      </c>
    </row>
    <row r="37" spans="1:3" ht="42" customHeight="1" x14ac:dyDescent="0.35">
      <c r="B37" s="12" t="s">
        <v>48</v>
      </c>
      <c r="C37" s="11" t="s">
        <v>70</v>
      </c>
    </row>
    <row r="38" spans="1:3" x14ac:dyDescent="0.35">
      <c r="B38" t="s">
        <v>8</v>
      </c>
      <c r="C38" s="5" t="b">
        <v>1</v>
      </c>
    </row>
    <row r="40" spans="1:3" x14ac:dyDescent="0.35">
      <c r="B40" s="3" t="s">
        <v>38</v>
      </c>
    </row>
    <row r="41" spans="1:3" ht="43.5" x14ac:dyDescent="0.35">
      <c r="B41" s="12" t="s">
        <v>48</v>
      </c>
      <c r="C41" s="11" t="s">
        <v>75</v>
      </c>
    </row>
    <row r="42" spans="1:3" x14ac:dyDescent="0.35">
      <c r="B42" s="12"/>
      <c r="C42" s="13" t="s">
        <v>71</v>
      </c>
    </row>
    <row r="43" spans="1:3" x14ac:dyDescent="0.35">
      <c r="B43" s="12"/>
      <c r="C43" s="13" t="s">
        <v>72</v>
      </c>
    </row>
    <row r="44" spans="1:3" x14ac:dyDescent="0.35">
      <c r="B44" s="12"/>
      <c r="C44" s="13" t="s">
        <v>73</v>
      </c>
    </row>
    <row r="45" spans="1:3" x14ac:dyDescent="0.35">
      <c r="B45" s="12"/>
      <c r="C45" s="13" t="s">
        <v>74</v>
      </c>
    </row>
    <row r="46" spans="1:3" x14ac:dyDescent="0.35">
      <c r="B46" t="s">
        <v>8</v>
      </c>
      <c r="C46" s="5" t="s">
        <v>31</v>
      </c>
    </row>
    <row r="48" spans="1:3" x14ac:dyDescent="0.35">
      <c r="A48" s="3" t="s">
        <v>61</v>
      </c>
    </row>
    <row r="49" spans="1:4" x14ac:dyDescent="0.35">
      <c r="B49" s="3" t="s">
        <v>34</v>
      </c>
    </row>
    <row r="50" spans="1:4" ht="75" customHeight="1" x14ac:dyDescent="0.35">
      <c r="B50" s="12" t="s">
        <v>48</v>
      </c>
      <c r="C50" s="11" t="s">
        <v>62</v>
      </c>
    </row>
    <row r="51" spans="1:4" x14ac:dyDescent="0.35">
      <c r="B51" t="s">
        <v>8</v>
      </c>
      <c r="C51" s="5" t="s">
        <v>24</v>
      </c>
    </row>
    <row r="52" spans="1:4" x14ac:dyDescent="0.35">
      <c r="B52" t="s">
        <v>26</v>
      </c>
      <c r="C52" s="7" t="b" cm="1">
        <f t="array" ref="C52">IF(C51="Default",INDEX(LangOptions[VB],$C$8),C51)</f>
        <v>0</v>
      </c>
      <c r="D52" t="s">
        <v>13</v>
      </c>
    </row>
    <row r="55" spans="1:4" x14ac:dyDescent="0.35">
      <c r="A55" s="3" t="s">
        <v>52</v>
      </c>
    </row>
    <row r="56" spans="1:4" ht="60.5" customHeight="1" x14ac:dyDescent="0.35">
      <c r="B56" s="15" t="s">
        <v>63</v>
      </c>
      <c r="C56" s="15"/>
    </row>
    <row r="58" spans="1:4" x14ac:dyDescent="0.35">
      <c r="A58" t="s">
        <v>77</v>
      </c>
    </row>
    <row r="59" spans="1:4" x14ac:dyDescent="0.35">
      <c r="B59" t="s">
        <v>58</v>
      </c>
    </row>
    <row r="60" spans="1:4" x14ac:dyDescent="0.35">
      <c r="B60" t="s">
        <v>57</v>
      </c>
    </row>
    <row r="61" spans="1:4" x14ac:dyDescent="0.35">
      <c r="B61" t="s">
        <v>56</v>
      </c>
    </row>
    <row r="62" spans="1:4" x14ac:dyDescent="0.35">
      <c r="B62" t="s">
        <v>76</v>
      </c>
    </row>
    <row r="63" spans="1:4" x14ac:dyDescent="0.35">
      <c r="B63" t="s">
        <v>59</v>
      </c>
    </row>
    <row r="64" spans="1:4" x14ac:dyDescent="0.35">
      <c r="B64" t="s">
        <v>60</v>
      </c>
    </row>
    <row r="65" spans="1:4" x14ac:dyDescent="0.35">
      <c r="B65" t="s">
        <v>64</v>
      </c>
    </row>
    <row r="67" spans="1:4" x14ac:dyDescent="0.35">
      <c r="B67" s="3" t="s">
        <v>65</v>
      </c>
    </row>
    <row r="68" spans="1:4" x14ac:dyDescent="0.35">
      <c r="B68" t="s">
        <v>8</v>
      </c>
      <c r="C68" s="5" t="b">
        <v>0</v>
      </c>
    </row>
    <row r="70" spans="1:4" x14ac:dyDescent="0.35">
      <c r="B70" s="3" t="s">
        <v>35</v>
      </c>
    </row>
    <row r="71" spans="1:4" x14ac:dyDescent="0.35">
      <c r="B71" t="s">
        <v>8</v>
      </c>
      <c r="C71" s="5">
        <v>6750207</v>
      </c>
      <c r="D71" s="8"/>
    </row>
    <row r="73" spans="1:4" x14ac:dyDescent="0.35">
      <c r="B73" s="3" t="s">
        <v>36</v>
      </c>
    </row>
    <row r="74" spans="1:4" x14ac:dyDescent="0.35">
      <c r="B74" t="s">
        <v>8</v>
      </c>
      <c r="C74" s="5">
        <v>14121904</v>
      </c>
      <c r="D74" s="9"/>
    </row>
    <row r="76" spans="1:4" x14ac:dyDescent="0.35">
      <c r="B76" s="3" t="s">
        <v>41</v>
      </c>
    </row>
    <row r="77" spans="1:4" x14ac:dyDescent="0.35">
      <c r="B77" t="s">
        <v>8</v>
      </c>
      <c r="C77" s="5">
        <v>6937599</v>
      </c>
      <c r="D77" s="10"/>
    </row>
    <row r="79" spans="1:4" x14ac:dyDescent="0.35">
      <c r="A79" s="3" t="s">
        <v>78</v>
      </c>
    </row>
    <row r="80" spans="1:4" ht="51" customHeight="1" x14ac:dyDescent="0.35">
      <c r="A80" s="3"/>
      <c r="B80" s="15" t="s">
        <v>79</v>
      </c>
      <c r="C80" s="15"/>
    </row>
    <row r="81" spans="1:3" x14ac:dyDescent="0.35">
      <c r="A81" s="3"/>
    </row>
    <row r="82" spans="1:3" x14ac:dyDescent="0.35">
      <c r="B82" s="3" t="s">
        <v>45</v>
      </c>
    </row>
    <row r="83" spans="1:3" x14ac:dyDescent="0.35">
      <c r="B83" s="12" t="s">
        <v>48</v>
      </c>
      <c r="C83" s="11" t="s">
        <v>80</v>
      </c>
    </row>
    <row r="84" spans="1:3" x14ac:dyDescent="0.35">
      <c r="B84" t="s">
        <v>8</v>
      </c>
      <c r="C84" s="5" t="s">
        <v>37</v>
      </c>
    </row>
    <row r="86" spans="1:3" x14ac:dyDescent="0.35">
      <c r="B86" s="3" t="s">
        <v>44</v>
      </c>
    </row>
    <row r="87" spans="1:3" x14ac:dyDescent="0.35">
      <c r="B87" s="12" t="s">
        <v>48</v>
      </c>
      <c r="C87" s="11" t="s">
        <v>82</v>
      </c>
    </row>
    <row r="88" spans="1:3" x14ac:dyDescent="0.35">
      <c r="B88" t="s">
        <v>8</v>
      </c>
      <c r="C88" s="5" t="b">
        <v>1</v>
      </c>
    </row>
    <row r="90" spans="1:3" x14ac:dyDescent="0.35">
      <c r="B90" s="3" t="s">
        <v>81</v>
      </c>
    </row>
    <row r="91" spans="1:3" ht="29" x14ac:dyDescent="0.35">
      <c r="B91" s="12" t="s">
        <v>48</v>
      </c>
      <c r="C91" s="11" t="s">
        <v>83</v>
      </c>
    </row>
    <row r="92" spans="1:3" x14ac:dyDescent="0.35">
      <c r="B92" t="s">
        <v>8</v>
      </c>
      <c r="C92" s="5" t="b">
        <v>1</v>
      </c>
    </row>
  </sheetData>
  <mergeCells count="3">
    <mergeCell ref="B2:E2"/>
    <mergeCell ref="B56:C56"/>
    <mergeCell ref="B80:C80"/>
  </mergeCells>
  <dataValidations count="3">
    <dataValidation type="list" allowBlank="1" showInputMessage="1" showErrorMessage="1" sqref="C13 C51" xr:uid="{A19F4A1C-06CF-4CE9-8AA9-1DAD1438F926}">
      <formula1>"True,False,Default"</formula1>
    </dataValidation>
    <dataValidation type="list" allowBlank="1" showInputMessage="1" showErrorMessage="1" sqref="C38 C68 C88 C92" xr:uid="{4EC048EF-B557-4187-B0F6-B416F503B304}">
      <formula1>"TRUE,FALSE"</formula1>
    </dataValidation>
    <dataValidation type="list" allowBlank="1" showInputMessage="1" showErrorMessage="1" sqref="C34" xr:uid="{7B8E2184-4DAA-410A-BCFC-B0D774553E3D}">
      <formula1>"FALSE,TRUE"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582C740B-6ACC-4CF4-9DF2-BB22560339FC}">
          <x14:formula1>
            <xm:f>Reference!$B$4:$B$13</xm:f>
          </x14:formula1>
          <xm:sqref>C7</xm:sqref>
        </x14:dataValidation>
        <x14:dataValidation type="list" allowBlank="1" showInputMessage="1" showErrorMessage="1" xr:uid="{AE6DEA78-7A08-4B73-A78D-F06A53E3755B}">
          <x14:formula1>
            <xm:f>Reference!$B$18:$B$23</xm:f>
          </x14:formula1>
          <xm:sqref>C22</xm:sqref>
        </x14:dataValidation>
        <x14:dataValidation type="list" allowBlank="1" showInputMessage="1" showErrorMessage="1" xr:uid="{9E532141-F53F-46E6-AA85-2711E8C13F1F}">
          <x14:formula1>
            <xm:f>Reference!$B$27:$B$30</xm:f>
          </x14:formula1>
          <xm:sqref>C46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43BC4-D78C-4687-A374-A1B69E8B9FE5}">
  <sheetPr codeName="Sheet2"/>
  <dimension ref="B3:E30"/>
  <sheetViews>
    <sheetView topLeftCell="A15" workbookViewId="0">
      <selection activeCell="B34" sqref="B34"/>
    </sheetView>
  </sheetViews>
  <sheetFormatPr defaultRowHeight="14.5" x14ac:dyDescent="0.35"/>
  <cols>
    <col min="2" max="2" width="53.26953125" customWidth="1"/>
  </cols>
  <sheetData>
    <row r="3" spans="2:5" x14ac:dyDescent="0.35">
      <c r="B3" t="s">
        <v>0</v>
      </c>
      <c r="C3" t="s">
        <v>1</v>
      </c>
      <c r="D3" t="s">
        <v>2</v>
      </c>
      <c r="E3" t="s">
        <v>3</v>
      </c>
    </row>
    <row r="4" spans="2:5" x14ac:dyDescent="0.35">
      <c r="B4" t="s">
        <v>6</v>
      </c>
      <c r="C4" t="b">
        <v>0</v>
      </c>
      <c r="D4" t="b">
        <v>0</v>
      </c>
      <c r="E4">
        <v>10</v>
      </c>
    </row>
    <row r="5" spans="2:5" x14ac:dyDescent="0.35">
      <c r="B5" t="s">
        <v>10</v>
      </c>
      <c r="C5" t="b">
        <v>0</v>
      </c>
      <c r="D5" t="b">
        <v>1</v>
      </c>
      <c r="E5">
        <v>4</v>
      </c>
    </row>
    <row r="6" spans="2:5" x14ac:dyDescent="0.35">
      <c r="B6" t="s">
        <v>14</v>
      </c>
      <c r="C6" t="b">
        <v>0</v>
      </c>
      <c r="D6" t="b">
        <v>1</v>
      </c>
      <c r="E6">
        <v>6</v>
      </c>
    </row>
    <row r="7" spans="2:5" x14ac:dyDescent="0.35">
      <c r="B7" t="s">
        <v>17</v>
      </c>
      <c r="C7" t="b">
        <v>0</v>
      </c>
      <c r="D7" t="b">
        <v>1</v>
      </c>
      <c r="E7">
        <v>2</v>
      </c>
    </row>
    <row r="8" spans="2:5" x14ac:dyDescent="0.35">
      <c r="B8" t="s">
        <v>19</v>
      </c>
      <c r="C8" t="b">
        <v>0</v>
      </c>
      <c r="D8" t="b">
        <v>1</v>
      </c>
      <c r="E8">
        <v>8</v>
      </c>
    </row>
    <row r="9" spans="2:5" x14ac:dyDescent="0.35">
      <c r="B9" t="s">
        <v>22</v>
      </c>
      <c r="C9" t="b">
        <v>0</v>
      </c>
      <c r="D9" t="b">
        <v>1</v>
      </c>
      <c r="E9">
        <v>9</v>
      </c>
    </row>
    <row r="10" spans="2:5" x14ac:dyDescent="0.35">
      <c r="B10" t="s">
        <v>25</v>
      </c>
      <c r="C10" t="b">
        <v>0</v>
      </c>
      <c r="D10" t="b">
        <v>1</v>
      </c>
      <c r="E10">
        <v>7</v>
      </c>
    </row>
    <row r="11" spans="2:5" x14ac:dyDescent="0.35">
      <c r="B11" t="s">
        <v>27</v>
      </c>
      <c r="C11" t="b">
        <v>1</v>
      </c>
      <c r="D11" t="b">
        <v>1</v>
      </c>
      <c r="E11">
        <v>3</v>
      </c>
    </row>
    <row r="12" spans="2:5" x14ac:dyDescent="0.35">
      <c r="B12" t="s">
        <v>9</v>
      </c>
      <c r="C12" t="b">
        <v>1</v>
      </c>
      <c r="D12" t="b">
        <v>0</v>
      </c>
      <c r="E12">
        <v>1</v>
      </c>
    </row>
    <row r="13" spans="2:5" x14ac:dyDescent="0.35">
      <c r="B13" t="s">
        <v>30</v>
      </c>
      <c r="C13" t="b">
        <v>0</v>
      </c>
      <c r="D13" t="b">
        <v>0</v>
      </c>
      <c r="E13">
        <v>5</v>
      </c>
    </row>
    <row r="17" spans="2:2" x14ac:dyDescent="0.35">
      <c r="B17" s="2" t="s">
        <v>4</v>
      </c>
    </row>
    <row r="18" spans="2:2" x14ac:dyDescent="0.35">
      <c r="B18" s="4" t="s">
        <v>7</v>
      </c>
    </row>
    <row r="19" spans="2:2" x14ac:dyDescent="0.35">
      <c r="B19" s="1" t="s">
        <v>11</v>
      </c>
    </row>
    <row r="20" spans="2:2" x14ac:dyDescent="0.35">
      <c r="B20" s="4" t="s">
        <v>15</v>
      </c>
    </row>
    <row r="21" spans="2:2" x14ac:dyDescent="0.35">
      <c r="B21" s="1" t="s">
        <v>18</v>
      </c>
    </row>
    <row r="22" spans="2:2" x14ac:dyDescent="0.35">
      <c r="B22" s="4" t="s">
        <v>20</v>
      </c>
    </row>
    <row r="23" spans="2:2" x14ac:dyDescent="0.35">
      <c r="B23" s="1" t="s">
        <v>23</v>
      </c>
    </row>
    <row r="26" spans="2:2" x14ac:dyDescent="0.35">
      <c r="B26" s="2" t="s">
        <v>28</v>
      </c>
    </row>
    <row r="27" spans="2:2" x14ac:dyDescent="0.35">
      <c r="B27" s="4" t="s">
        <v>31</v>
      </c>
    </row>
    <row r="28" spans="2:2" x14ac:dyDescent="0.35">
      <c r="B28" s="1" t="s">
        <v>32</v>
      </c>
    </row>
    <row r="29" spans="2:2" x14ac:dyDescent="0.35">
      <c r="B29" s="4" t="s">
        <v>33</v>
      </c>
    </row>
    <row r="30" spans="2:2" x14ac:dyDescent="0.35">
      <c r="B30" s="1" t="s">
        <v>40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vt:i4>
      </vt:variant>
    </vt:vector>
  </HeadingPairs>
  <TitlesOfParts>
    <vt:vector size="19" baseType="lpstr">
      <vt:lpstr>Options</vt:lpstr>
      <vt:lpstr>Reference</vt:lpstr>
      <vt:lpstr>AddToExcel</vt:lpstr>
      <vt:lpstr>CalcTestCaseResults</vt:lpstr>
      <vt:lpstr>ForceStoreInMemoryForAddresses</vt:lpstr>
      <vt:lpstr>InputFileAsLibrary</vt:lpstr>
      <vt:lpstr>LangID</vt:lpstr>
      <vt:lpstr>ReadFromXML</vt:lpstr>
      <vt:lpstr>ReadWritePath</vt:lpstr>
      <vt:lpstr>StrictInputColor</vt:lpstr>
      <vt:lpstr>StrictMode</vt:lpstr>
      <vt:lpstr>StrictOutputColor</vt:lpstr>
      <vt:lpstr>StrictTestCasesInputColor</vt:lpstr>
      <vt:lpstr>TeraHelperFunctions</vt:lpstr>
      <vt:lpstr>TeraReferenceTables</vt:lpstr>
      <vt:lpstr>TeraSchema</vt:lpstr>
      <vt:lpstr>UseNamedRanges</vt:lpstr>
      <vt:lpstr>XMLFileName</vt:lpstr>
      <vt:lpstr>XMLLibraryPath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2023-02-20T16:57:44Z</dcterms:created>
  <dcterms:modified xsi:type="dcterms:W3CDTF">2023-08-24T06:28:00Z</dcterms:modified>
</cp:coreProperties>
</file>