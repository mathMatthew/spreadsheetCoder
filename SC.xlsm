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Desktop\Spreadsheet Coder Code\"/>
    </mc:Choice>
  </mc:AlternateContent>
  <xr:revisionPtr revIDLastSave="0" documentId="13_ncr:1_{4C585FF3-50D8-489A-9736-FA3A56BBD672}" xr6:coauthVersionLast="47" xr6:coauthVersionMax="47" xr10:uidLastSave="{00000000-0000-0000-0000-000000000000}"/>
  <bookViews>
    <workbookView xWindow="-108" yWindow="-108" windowWidth="23256" windowHeight="12456" xr2:uid="{2DF4D85E-909D-4C50-A11F-AE5F0EC1C9AD}"/>
  </bookViews>
  <sheets>
    <sheet name="Options" sheetId="1" r:id="rId1"/>
  </sheets>
  <functionGroups builtInGroupCount="19"/>
  <definedNames>
    <definedName name="AddToExcel">Options!$C$19</definedName>
    <definedName name="CalcTestCaseResults">Options!$C$40</definedName>
    <definedName name="ExcelStrictForm">Options!$C$22</definedName>
    <definedName name="ExcelStrictInputColor">Options!$C$25</definedName>
    <definedName name="ExcelStrictOutputColor">Options!$C$28</definedName>
    <definedName name="ExcelStrictTestCasesInputColor">Options!$C$31</definedName>
    <definedName name="ForceStoreInMemoryForAddresses">Options!$C$43</definedName>
    <definedName name="InputFileAsLibrary">Options!$C$46</definedName>
    <definedName name="LangID">Options!$C$8</definedName>
    <definedName name="ReadFromXML">Options!$C$12</definedName>
    <definedName name="TeraHelperFunctions">Options!$C$37</definedName>
    <definedName name="TeraSchema">Options!$C$34</definedName>
    <definedName name="UseNamedRanges">Options!$C$49</definedName>
    <definedName name="XMLFileName">Options!$C$15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" l="1"/>
  <c r="C8" i="1" l="1" a="1"/>
  <c r="C8" i="1" s="1"/>
  <c r="C12" i="1" a="1"/>
  <c r="C12" i="1" s="1"/>
  <c r="C19" i="1" a="1"/>
  <c r="C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<sst xmlns="http://schemas.openxmlformats.org/spreadsheetml/2006/main" count="76" uniqueCount="55">
  <si>
    <t>Note: Edit yellow cells only</t>
  </si>
  <si>
    <t>Option</t>
  </si>
  <si>
    <t>VB</t>
  </si>
  <si>
    <t>D_ReadFromFile</t>
  </si>
  <si>
    <t>OptionID</t>
  </si>
  <si>
    <t>Test Cases</t>
  </si>
  <si>
    <t>Target Language</t>
  </si>
  <si>
    <t>Excel</t>
  </si>
  <si>
    <t>No test cases</t>
  </si>
  <si>
    <t>Edit</t>
  </si>
  <si>
    <t>VB - Simple</t>
  </si>
  <si>
    <t>JS - Simple</t>
  </si>
  <si>
    <t>Test cases, inputs only</t>
  </si>
  <si>
    <t>Row</t>
  </si>
  <si>
    <t>Do Not Edit</t>
  </si>
  <si>
    <t>SQL - 2K</t>
  </si>
  <si>
    <t>Test cases, outputs already calculated</t>
  </si>
  <si>
    <t>OptID</t>
  </si>
  <si>
    <t>SQL - Simple</t>
  </si>
  <si>
    <t>Test cases, calculate outputs - target cells blank</t>
  </si>
  <si>
    <t>SQL - Tera - Function</t>
  </si>
  <si>
    <t>Test cases, calculate outputs - automatic overwrite</t>
  </si>
  <si>
    <t>Read From XML File</t>
  </si>
  <si>
    <t>SQL - Tera - Proc</t>
  </si>
  <si>
    <t>Test cases, calculate &amp; compare outputs - automatic overwrite</t>
  </si>
  <si>
    <t>Default</t>
  </si>
  <si>
    <t>SQL - Tera - Script</t>
  </si>
  <si>
    <t>Value</t>
  </si>
  <si>
    <t>VB - Complex</t>
  </si>
  <si>
    <t>Use Named Ranges</t>
  </si>
  <si>
    <t>XML File Name</t>
  </si>
  <si>
    <t>XML</t>
  </si>
  <si>
    <t>Don't Use</t>
  </si>
  <si>
    <t>Ask if found / ask to update</t>
  </si>
  <si>
    <t>Ask if found / auto-update</t>
  </si>
  <si>
    <t>VBA - Add to Excel File</t>
  </si>
  <si>
    <t>VBA - Excel Strict Form</t>
  </si>
  <si>
    <t>Excel Strict - Input Color (RGB)</t>
  </si>
  <si>
    <t>Excel Strict - Output Color (RGB)</t>
  </si>
  <si>
    <t>need to think through Loops - the longstanding nemesis.</t>
  </si>
  <si>
    <t>abc</t>
  </si>
  <si>
    <t>Use named ranges for inputs / outputs</t>
  </si>
  <si>
    <t>PlaceholderName</t>
  </si>
  <si>
    <t>Use if found</t>
  </si>
  <si>
    <t>Excel Strict - TestCasesInputsColor (RGB)</t>
  </si>
  <si>
    <t>Force all cell-level calcs to store results</t>
  </si>
  <si>
    <t>Test cases</t>
  </si>
  <si>
    <t>TeraData: add helper functions</t>
  </si>
  <si>
    <t>TeraData: object database name</t>
  </si>
  <si>
    <t>Use input file as library</t>
  </si>
  <si>
    <t>To Do:</t>
  </si>
  <si>
    <t>To do Russian Doll</t>
  </si>
  <si>
    <t>Use vb-simple</t>
  </si>
  <si>
    <t>Use excel strict</t>
  </si>
  <si>
    <t xml:space="preserve">try getting getCustomFormulaForCell to work.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</si>
</sst>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DB69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1" fillId="3" borderId="1" xfId="0" applyFont="1" applyFill="1" applyBorder="1"/>
    <xf numFmtId="0" fontId="2" fillId="0" borderId="0" xfId="0" applyFont="1"/>
    <xf numFmtId="0" fontId="0" fillId="0" borderId="1" xfId="0" applyBorder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A0EB0D-DF80-4BC6-9BE4-5844AC7660F9}" name="LangOptions" displayName="LangOptions" ref="G4:J14" totalsRowShown="0">
  <autoFilter ref="G4:J14" xr:uid="{BFA0EB0D-DF80-4BC6-9BE4-5844AC7660F9}"/>
  <tableColumns count="4">
    <tableColumn id="1" xr3:uid="{F3C37CAE-85E6-4621-9313-2A7088AD7A79}" name="Option"/>
    <tableColumn id="2" xr3:uid="{54540916-F08E-4C2D-B5EA-04311A76F5C9}" name="VB"/>
    <tableColumn id="4" xr3:uid="{4D4952EF-F691-45B4-A128-6BB845643C48}" name="D_ReadFromFile"/>
    <tableColumn id="3" xr3:uid="{7DAD83D9-B717-4042-BDD7-CA65C6328FAE}" name="Option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8A16A-E4BF-409C-92CD-2193A4EBFAF9}">
  <sheetPr codeName="Sheet1"/>
  <dimension ref="B3:N49"/>
  <sheetViews>
    <sheetView tabSelected="1" topLeftCell="A10" workbookViewId="0">
      <selection activeCell="G32" sqref="G32"/>
    </sheetView>
  </sheetViews>
  <sheetFormatPr defaultRowHeight="14.4" x14ac:dyDescent="0.3"/>
  <cols>
    <col min="3" max="3" width="61.77734375" customWidth="1"/>
    <col min="9" max="9" width="16.6640625" customWidth="1"/>
    <col min="14" max="14" width="55.21875" customWidth="1"/>
  </cols>
  <sheetData>
    <row r="3" spans="2:14" x14ac:dyDescent="0.3">
      <c r="B3" t="s">
        <v>0</v>
      </c>
    </row>
    <row r="4" spans="2:14" x14ac:dyDescent="0.3">
      <c r="G4" t="s">
        <v>1</v>
      </c>
      <c r="H4" t="s">
        <v>2</v>
      </c>
      <c r="I4" t="s">
        <v>3</v>
      </c>
      <c r="J4" t="s">
        <v>4</v>
      </c>
      <c r="N4" s="2" t="s">
        <v>5</v>
      </c>
    </row>
    <row r="5" spans="2:14" x14ac:dyDescent="0.3">
      <c r="B5" s="3" t="s">
        <v>6</v>
      </c>
      <c r="G5" t="s">
        <v>7</v>
      </c>
      <c r="H5" t="b">
        <v>0</v>
      </c>
      <c r="I5" t="b">
        <v>0</v>
      </c>
      <c r="J5">
        <v>10</v>
      </c>
      <c r="N5" s="4" t="s">
        <v>8</v>
      </c>
    </row>
    <row r="6" spans="2:14" x14ac:dyDescent="0.3">
      <c r="B6" t="s">
        <v>9</v>
      </c>
      <c r="C6" s="5" t="s">
        <v>10</v>
      </c>
      <c r="G6" t="s">
        <v>11</v>
      </c>
      <c r="H6" t="b">
        <v>0</v>
      </c>
      <c r="I6" t="b">
        <v>1</v>
      </c>
      <c r="J6">
        <v>4</v>
      </c>
      <c r="N6" s="1" t="s">
        <v>12</v>
      </c>
    </row>
    <row r="7" spans="2:14" x14ac:dyDescent="0.3">
      <c r="B7" t="s">
        <v>13</v>
      </c>
      <c r="C7" s="6">
        <f>MATCH(C6,LangOptions[Option], 0)</f>
        <v>9</v>
      </c>
      <c r="D7" t="s">
        <v>14</v>
      </c>
      <c r="G7" t="s">
        <v>15</v>
      </c>
      <c r="H7" t="b">
        <v>0</v>
      </c>
      <c r="I7" t="b">
        <v>1</v>
      </c>
      <c r="J7">
        <v>6</v>
      </c>
      <c r="N7" s="4" t="s">
        <v>16</v>
      </c>
    </row>
    <row r="8" spans="2:14" x14ac:dyDescent="0.3">
      <c r="B8" t="s">
        <v>17</v>
      </c>
      <c r="C8" s="6" cm="1">
        <f t="array" ref="C8">INDEX(LangOptions[OptionID],C7)</f>
        <v>1</v>
      </c>
      <c r="D8" t="s">
        <v>14</v>
      </c>
      <c r="G8" t="s">
        <v>18</v>
      </c>
      <c r="H8" t="b">
        <v>0</v>
      </c>
      <c r="I8" t="b">
        <v>1</v>
      </c>
      <c r="J8">
        <v>2</v>
      </c>
      <c r="N8" s="1" t="s">
        <v>19</v>
      </c>
    </row>
    <row r="9" spans="2:14" x14ac:dyDescent="0.3">
      <c r="G9" t="s">
        <v>20</v>
      </c>
      <c r="H9" t="b">
        <v>0</v>
      </c>
      <c r="I9" t="b">
        <v>1</v>
      </c>
      <c r="J9">
        <v>8</v>
      </c>
      <c r="N9" s="4" t="s">
        <v>21</v>
      </c>
    </row>
    <row r="10" spans="2:14" x14ac:dyDescent="0.3">
      <c r="B10" s="3" t="s">
        <v>22</v>
      </c>
      <c r="G10" t="s">
        <v>23</v>
      </c>
      <c r="H10" t="b">
        <v>0</v>
      </c>
      <c r="I10" t="b">
        <v>1</v>
      </c>
      <c r="J10">
        <v>9</v>
      </c>
      <c r="N10" s="1" t="s">
        <v>24</v>
      </c>
    </row>
    <row r="11" spans="2:14" x14ac:dyDescent="0.3">
      <c r="B11" t="s">
        <v>9</v>
      </c>
      <c r="C11" s="5" t="s">
        <v>25</v>
      </c>
      <c r="G11" t="s">
        <v>26</v>
      </c>
      <c r="H11" t="b">
        <v>0</v>
      </c>
      <c r="I11" t="b">
        <v>1</v>
      </c>
      <c r="J11">
        <v>7</v>
      </c>
    </row>
    <row r="12" spans="2:14" x14ac:dyDescent="0.3">
      <c r="B12" t="s">
        <v>27</v>
      </c>
      <c r="C12" s="6" t="b" cm="1">
        <f t="array" ref="C12">IF(C11="Default",INDEX(LangOptions[D_ReadFromFile],$C$7),C11)</f>
        <v>0</v>
      </c>
      <c r="D12" t="s">
        <v>14</v>
      </c>
      <c r="G12" t="s">
        <v>28</v>
      </c>
      <c r="H12" t="b">
        <v>1</v>
      </c>
      <c r="I12" t="b">
        <v>1</v>
      </c>
      <c r="J12">
        <v>3</v>
      </c>
    </row>
    <row r="13" spans="2:14" x14ac:dyDescent="0.3">
      <c r="G13" t="s">
        <v>10</v>
      </c>
      <c r="H13" t="b">
        <v>1</v>
      </c>
      <c r="I13" t="b">
        <v>0</v>
      </c>
      <c r="J13">
        <v>1</v>
      </c>
      <c r="N13" s="2" t="s">
        <v>29</v>
      </c>
    </row>
    <row r="14" spans="2:14" x14ac:dyDescent="0.3">
      <c r="B14" s="3" t="s">
        <v>30</v>
      </c>
      <c r="G14" t="s">
        <v>31</v>
      </c>
      <c r="H14" t="b">
        <v>0</v>
      </c>
      <c r="I14" t="b">
        <v>0</v>
      </c>
      <c r="J14">
        <v>5</v>
      </c>
      <c r="N14" s="4" t="s">
        <v>32</v>
      </c>
    </row>
    <row r="15" spans="2:14" x14ac:dyDescent="0.3">
      <c r="B15" t="s">
        <v>9</v>
      </c>
      <c r="C15" s="5" t="s">
        <v>42</v>
      </c>
      <c r="N15" s="1" t="s">
        <v>33</v>
      </c>
    </row>
    <row r="16" spans="2:14" x14ac:dyDescent="0.3">
      <c r="N16" s="4" t="s">
        <v>34</v>
      </c>
    </row>
    <row r="17" spans="2:14" x14ac:dyDescent="0.3">
      <c r="B17" s="3" t="s">
        <v>35</v>
      </c>
      <c r="N17" s="1" t="s">
        <v>43</v>
      </c>
    </row>
    <row r="18" spans="2:14" x14ac:dyDescent="0.3">
      <c r="B18" t="s">
        <v>9</v>
      </c>
      <c r="C18" s="5" t="s">
        <v>25</v>
      </c>
      <c r="G18" t="s">
        <v>51</v>
      </c>
    </row>
    <row r="19" spans="2:14" x14ac:dyDescent="0.3">
      <c r="B19" t="s">
        <v>27</v>
      </c>
      <c r="C19" s="7" t="b" cm="1">
        <f t="array" ref="C19">IF(C18="Default",INDEX(LangOptions[VB],$C$7),C18)</f>
        <v>1</v>
      </c>
      <c r="D19" t="s">
        <v>14</v>
      </c>
      <c r="H19" t="s">
        <v>52</v>
      </c>
    </row>
    <row r="20" spans="2:14" x14ac:dyDescent="0.3">
      <c r="H20" t="s">
        <v>53</v>
      </c>
    </row>
    <row r="21" spans="2:14" x14ac:dyDescent="0.3">
      <c r="B21" s="3" t="s">
        <v>36</v>
      </c>
    </row>
    <row r="22" spans="2:14" x14ac:dyDescent="0.3">
      <c r="B22" t="s">
        <v>9</v>
      </c>
      <c r="C22" s="5" t="b">
        <v>1</v>
      </c>
    </row>
    <row r="24" spans="2:14" x14ac:dyDescent="0.3">
      <c r="B24" s="3" t="s">
        <v>37</v>
      </c>
    </row>
    <row r="25" spans="2:14" x14ac:dyDescent="0.3">
      <c r="B25" t="s">
        <v>9</v>
      </c>
      <c r="C25" s="5">
        <v>6750207</v>
      </c>
      <c r="D25" s="8"/>
    </row>
    <row r="27" spans="2:14" x14ac:dyDescent="0.3">
      <c r="B27" s="3" t="s">
        <v>38</v>
      </c>
    </row>
    <row r="28" spans="2:14" x14ac:dyDescent="0.3">
      <c r="B28" t="s">
        <v>9</v>
      </c>
      <c r="C28" s="5">
        <v>14121904</v>
      </c>
      <c r="D28" s="9"/>
    </row>
    <row r="30" spans="2:14" x14ac:dyDescent="0.3">
      <c r="B30" s="3" t="s">
        <v>44</v>
      </c>
      <c r="G30" t="s">
        <v>50</v>
      </c>
    </row>
    <row r="31" spans="2:14" x14ac:dyDescent="0.3">
      <c r="B31" t="s">
        <v>9</v>
      </c>
      <c r="C31" s="5">
        <v>6937599</v>
      </c>
      <c r="D31" s="10"/>
      <c r="G31" t="s">
        <v>54</v>
      </c>
    </row>
    <row r="32" spans="2:14" x14ac:dyDescent="0.3">
      <c r="G32" t="s">
        <v>39</v>
      </c>
    </row>
    <row r="33" spans="2:3" x14ac:dyDescent="0.3">
      <c r="B33" s="3" t="s">
        <v>48</v>
      </c>
    </row>
    <row r="34" spans="2:3" x14ac:dyDescent="0.3">
      <c r="B34" t="s">
        <v>9</v>
      </c>
      <c r="C34" s="5" t="s">
        <v>40</v>
      </c>
    </row>
    <row r="36" spans="2:3" x14ac:dyDescent="0.3">
      <c r="B36" s="3" t="s">
        <v>47</v>
      </c>
    </row>
    <row r="37" spans="2:3" x14ac:dyDescent="0.3">
      <c r="B37" t="s">
        <v>9</v>
      </c>
      <c r="C37" s="5" t="b">
        <v>1</v>
      </c>
    </row>
    <row r="39" spans="2:3" x14ac:dyDescent="0.3">
      <c r="B39" s="3" t="s">
        <v>46</v>
      </c>
    </row>
    <row r="40" spans="2:3" x14ac:dyDescent="0.3">
      <c r="B40" t="s">
        <v>9</v>
      </c>
      <c r="C40" s="5" t="s">
        <v>24</v>
      </c>
    </row>
    <row r="42" spans="2:3" x14ac:dyDescent="0.3">
      <c r="B42" s="3" t="s">
        <v>45</v>
      </c>
    </row>
    <row r="43" spans="2:3" x14ac:dyDescent="0.3">
      <c r="B43" t="s">
        <v>9</v>
      </c>
      <c r="C43" s="5" t="b">
        <v>0</v>
      </c>
    </row>
    <row r="45" spans="2:3" x14ac:dyDescent="0.3">
      <c r="B45" s="3" t="s">
        <v>49</v>
      </c>
    </row>
    <row r="46" spans="2:3" x14ac:dyDescent="0.3">
      <c r="B46" t="s">
        <v>9</v>
      </c>
      <c r="C46" s="5" t="b">
        <v>1</v>
      </c>
    </row>
    <row r="48" spans="2:3" x14ac:dyDescent="0.3">
      <c r="B48" s="3" t="s">
        <v>41</v>
      </c>
    </row>
    <row r="49" spans="2:3" x14ac:dyDescent="0.3">
      <c r="B49" t="s">
        <v>9</v>
      </c>
      <c r="C49" s="5" t="s">
        <v>34</v>
      </c>
    </row>
  </sheetData>
  <dataValidations count="6">
    <dataValidation type="list" allowBlank="1" showInputMessage="1" showErrorMessage="1" sqref="C49" xr:uid="{9E532141-F53F-46E6-AA85-2711E8C13F1F}">
      <formula1>$N$14:$N$17</formula1>
    </dataValidation>
    <dataValidation type="list" allowBlank="1" showInputMessage="1" showErrorMessage="1" sqref="C40" xr:uid="{AE6DEA78-7A08-4B73-A78D-F06A53E3755B}">
      <formula1>$N$5:$N$10</formula1>
    </dataValidation>
    <dataValidation type="list" allowBlank="1" showInputMessage="1" showErrorMessage="1" sqref="C6" xr:uid="{582C740B-6ACC-4CF4-9DF2-BB22560339FC}">
      <formula1>$G$5:$G$14</formula1>
    </dataValidation>
    <dataValidation type="list" allowBlank="1" showInputMessage="1" showErrorMessage="1" sqref="C11 C18" xr:uid="{A19F4A1C-06CF-4CE9-8AA9-1DAD1438F926}">
      <formula1>"True,False,Default"</formula1>
    </dataValidation>
    <dataValidation type="list" allowBlank="1" showInputMessage="1" showErrorMessage="1" sqref="C46 C22 C37" xr:uid="{4EC048EF-B557-4187-B0F6-B416F503B304}">
      <formula1>"TRUE,FALSE"</formula1>
    </dataValidation>
    <dataValidation type="list" allowBlank="1" showInputMessage="1" showErrorMessage="1" sqref="C43" xr:uid="{7B8E2184-4DAA-410A-BCFC-B0D774553E3D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Options</vt:lpstr>
      <vt:lpstr>AddToExcel</vt:lpstr>
      <vt:lpstr>CalcTestCaseResults</vt:lpstr>
      <vt:lpstr>ExcelStrictForm</vt:lpstr>
      <vt:lpstr>ExcelStrictInputColor</vt:lpstr>
      <vt:lpstr>ExcelStrictOutputColor</vt:lpstr>
      <vt:lpstr>ExcelStrictTestCasesInputColor</vt:lpstr>
      <vt:lpstr>ForceStoreInMemoryForAddresses</vt:lpstr>
      <vt:lpstr>InputFileAsLibrary</vt:lpstr>
      <vt:lpstr>LangID</vt:lpstr>
      <vt:lpstr>ReadFromXML</vt:lpstr>
      <vt:lpstr>TeraHelperFunctions</vt:lpstr>
      <vt:lpstr>TeraSchema</vt:lpstr>
      <vt:lpstr>UseNamedRanges</vt:lpstr>
      <vt:lpstr>XMLFileName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</dc:creator>
  <cp:lastModifiedBy>Matthew F</cp:lastModifiedBy>
  <dcterms:created xsi:type="dcterms:W3CDTF">2023-02-20T16:57:44Z</dcterms:created>
  <dcterms:modified xsi:type="dcterms:W3CDTF">2023-04-25T05:11:28Z</dcterms:modified>
</cp:coreProperties>
</file>