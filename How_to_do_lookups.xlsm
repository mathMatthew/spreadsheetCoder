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SpreadsheetCoder\"/>
    </mc:Choice>
  </mc:AlternateContent>
  <xr:revisionPtr revIDLastSave="0" documentId="13_ncr:1_{A1580350-3719-4AAC-91B4-4B2915CEF5BE}" xr6:coauthVersionLast="47" xr6:coauthVersionMax="47" xr10:uidLastSave="{00000000-0000-0000-0000-000000000000}"/>
  <bookViews>
    <workbookView xWindow="-110" yWindow="-110" windowWidth="19420" windowHeight="11500" activeTab="2" xr2:uid="{1AD26365-7FBC-4E2D-B9B0-F1EB30D5C899}"/>
  </bookViews>
  <sheets>
    <sheet name="Text" sheetId="3" r:id="rId1"/>
    <sheet name="Simple examples" sheetId="1" r:id="rId2"/>
    <sheet name="Complex exampl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6" i="2" l="1" a="1"/>
  <c r="L76" i="2"/>
  <c r="L74" i="2" a="1"/>
  <c r="L74" i="2" s="1"/>
  <c r="L78" i="2" s="1" a="1"/>
  <c r="L78" i="2" s="1"/>
  <c r="L13" i="2"/>
  <c r="F32" i="1"/>
  <c r="F9" i="1"/>
  <c r="L8" i="2" a="1"/>
  <c r="L8" i="2" s="1"/>
  <c r="T4" i="2" a="1"/>
  <c r="T4" i="2" s="1"/>
  <c r="L75" i="2" a="1"/>
  <c r="L75" i="2" s="1"/>
  <c r="L67" i="2" a="1"/>
  <c r="L67" i="2" s="1"/>
  <c r="L60" i="2" a="1"/>
  <c r="L60" i="2" s="1"/>
  <c r="L24" i="2" a="1"/>
  <c r="L24" i="2" s="1"/>
  <c r="F30" i="1"/>
  <c r="F29" i="1"/>
  <c r="F28" i="1"/>
  <c r="H44" i="1" a="1"/>
  <c r="H44" i="1" s="1"/>
  <c r="H51" i="1" a="1"/>
  <c r="H51" i="1" s="1"/>
  <c r="F19" i="1"/>
  <c r="L39" i="2" a="1"/>
  <c r="L39" i="2" s="1"/>
  <c r="L81" i="2" a="1"/>
  <c r="L68" i="2" a="1"/>
  <c r="L9" i="2" a="1"/>
  <c r="I7" i="1" a="1"/>
  <c r="I13" i="1" a="1"/>
  <c r="I6" i="1" a="1"/>
  <c r="F10" i="1" a="1"/>
  <c r="F20" i="1" a="1"/>
  <c r="I12" i="1" a="1"/>
  <c r="I9" i="1" a="1"/>
  <c r="I10" i="1" a="1"/>
  <c r="I11" i="1" a="1"/>
  <c r="L40" i="2" a="1"/>
  <c r="H52" i="1" a="1"/>
  <c r="I14" i="1" a="1"/>
  <c r="H45" i="1" a="1"/>
  <c r="I8" i="1" a="1"/>
  <c r="L80" i="2" l="1"/>
  <c r="L81" i="2"/>
  <c r="L77" i="2" a="1"/>
  <c r="L77" i="2" s="1"/>
  <c r="L68" i="2"/>
  <c r="L9" i="2"/>
  <c r="I14" i="1"/>
  <c r="I9" i="1"/>
  <c r="I13" i="1"/>
  <c r="I10" i="1"/>
  <c r="I7" i="1"/>
  <c r="I12" i="1"/>
  <c r="I11" i="1"/>
  <c r="I8" i="1"/>
  <c r="I6" i="1"/>
  <c r="H52" i="1"/>
  <c r="H45" i="1"/>
  <c r="F20" i="1"/>
  <c r="F10" i="1"/>
  <c r="L40" i="2"/>
  <c r="L47" i="2"/>
  <c r="L48" i="2" s="1"/>
  <c r="L25" i="2" a="1"/>
  <c r="L14" i="2" a="1"/>
  <c r="L61" i="2" a="1"/>
  <c r="L49" i="2" a="1"/>
  <c r="L14" i="2" l="1"/>
  <c r="L25" i="2"/>
  <c r="L61" i="2"/>
  <c r="L4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<sst xmlns="http://schemas.openxmlformats.org/spreadsheetml/2006/main" count="617" uniqueCount="202">
  <si>
    <t>a</t>
  </si>
  <si>
    <t>b</t>
  </si>
  <si>
    <t>c</t>
  </si>
  <si>
    <t>val</t>
  </si>
  <si>
    <t>lookup</t>
  </si>
  <si>
    <t>order</t>
  </si>
  <si>
    <t>input3</t>
  </si>
  <si>
    <t>input2</t>
  </si>
  <si>
    <t>input1</t>
  </si>
  <si>
    <t>test</t>
  </si>
  <si>
    <t>mylookup2</t>
  </si>
  <si>
    <t>Field1</t>
  </si>
  <si>
    <t>Field2</t>
  </si>
  <si>
    <t>Field3</t>
  </si>
  <si>
    <t>in1_field1</t>
  </si>
  <si>
    <t>in2_field2</t>
  </si>
  <si>
    <t>in3_field3</t>
  </si>
  <si>
    <t>in4_order</t>
  </si>
  <si>
    <t>get Lookup</t>
  </si>
  <si>
    <t>concatIn</t>
  </si>
  <si>
    <t>myLookup4</t>
  </si>
  <si>
    <t>myLookup5</t>
  </si>
  <si>
    <t>aaa0</t>
  </si>
  <si>
    <t>aaa1</t>
  </si>
  <si>
    <t>aaa2</t>
  </si>
  <si>
    <t>aaa3</t>
  </si>
  <si>
    <t>aab0</t>
  </si>
  <si>
    <t>aab1</t>
  </si>
  <si>
    <t>aab2</t>
  </si>
  <si>
    <t>aab3</t>
  </si>
  <si>
    <t>aac0</t>
  </si>
  <si>
    <t>aac1</t>
  </si>
  <si>
    <t>aac2</t>
  </si>
  <si>
    <t>aac3</t>
  </si>
  <si>
    <t>aba0</t>
  </si>
  <si>
    <t>aba1</t>
  </si>
  <si>
    <t>aba2</t>
  </si>
  <si>
    <t>aba3</t>
  </si>
  <si>
    <t>abb0</t>
  </si>
  <si>
    <t>abb1</t>
  </si>
  <si>
    <t>abb2</t>
  </si>
  <si>
    <t>abb3</t>
  </si>
  <si>
    <t>abc0</t>
  </si>
  <si>
    <t>abc1</t>
  </si>
  <si>
    <t>abc2</t>
  </si>
  <si>
    <t>abc3</t>
  </si>
  <si>
    <t>aca0</t>
  </si>
  <si>
    <t>aca1</t>
  </si>
  <si>
    <t>aca2</t>
  </si>
  <si>
    <t>aca3</t>
  </si>
  <si>
    <t>acb0</t>
  </si>
  <si>
    <t>acb1</t>
  </si>
  <si>
    <t>acb2</t>
  </si>
  <si>
    <t>acb3</t>
  </si>
  <si>
    <t>acc0</t>
  </si>
  <si>
    <t>acc1</t>
  </si>
  <si>
    <t>acc2</t>
  </si>
  <si>
    <t>acc3</t>
  </si>
  <si>
    <t>baa1</t>
  </si>
  <si>
    <t>baa2</t>
  </si>
  <si>
    <t>baa3</t>
  </si>
  <si>
    <t>bab0</t>
  </si>
  <si>
    <t>bab1</t>
  </si>
  <si>
    <t>bab2</t>
  </si>
  <si>
    <t>bab3</t>
  </si>
  <si>
    <t>bac0</t>
  </si>
  <si>
    <t>bac1</t>
  </si>
  <si>
    <t>bac2</t>
  </si>
  <si>
    <t>bac3</t>
  </si>
  <si>
    <t>bba0</t>
  </si>
  <si>
    <t>bba1</t>
  </si>
  <si>
    <t>bba2</t>
  </si>
  <si>
    <t>bba3</t>
  </si>
  <si>
    <t>bbb0</t>
  </si>
  <si>
    <t>bbb1</t>
  </si>
  <si>
    <t>bbb2</t>
  </si>
  <si>
    <t>bbb3</t>
  </si>
  <si>
    <t>bbc0</t>
  </si>
  <si>
    <t>bbc1</t>
  </si>
  <si>
    <t>bbc2</t>
  </si>
  <si>
    <t>bbc3</t>
  </si>
  <si>
    <t>bca0</t>
  </si>
  <si>
    <t>bca1</t>
  </si>
  <si>
    <t>bca2</t>
  </si>
  <si>
    <t>bca3</t>
  </si>
  <si>
    <t>bcb0</t>
  </si>
  <si>
    <t>bcb1</t>
  </si>
  <si>
    <t>bcb2</t>
  </si>
  <si>
    <t>bcb3</t>
  </si>
  <si>
    <t>bcc0</t>
  </si>
  <si>
    <t>bcc1</t>
  </si>
  <si>
    <t>bcc2</t>
  </si>
  <si>
    <t>bcc3</t>
  </si>
  <si>
    <t>caa0</t>
  </si>
  <si>
    <t>caa1</t>
  </si>
  <si>
    <t>caa2</t>
  </si>
  <si>
    <t>caa3</t>
  </si>
  <si>
    <t>cab0</t>
  </si>
  <si>
    <t>cab1</t>
  </si>
  <si>
    <t>cab2</t>
  </si>
  <si>
    <t>cab3</t>
  </si>
  <si>
    <t>cac0</t>
  </si>
  <si>
    <t>cac1</t>
  </si>
  <si>
    <t>cac2</t>
  </si>
  <si>
    <t>cac3</t>
  </si>
  <si>
    <t>cba0</t>
  </si>
  <si>
    <t>cba1</t>
  </si>
  <si>
    <t>cba2</t>
  </si>
  <si>
    <t>cba3</t>
  </si>
  <si>
    <t>cbb0</t>
  </si>
  <si>
    <t>cbb1</t>
  </si>
  <si>
    <t>cbb2</t>
  </si>
  <si>
    <t>cbb3</t>
  </si>
  <si>
    <t>cbc0</t>
  </si>
  <si>
    <t>cbc1</t>
  </si>
  <si>
    <t>cbc2</t>
  </si>
  <si>
    <t>cbc3</t>
  </si>
  <si>
    <t>cca0</t>
  </si>
  <si>
    <t>cca1</t>
  </si>
  <si>
    <t>cca2</t>
  </si>
  <si>
    <t>cca3</t>
  </si>
  <si>
    <t>ccb0</t>
  </si>
  <si>
    <t>ccb1</t>
  </si>
  <si>
    <t>ccb2</t>
  </si>
  <si>
    <t>ccb3</t>
  </si>
  <si>
    <t>ccc0</t>
  </si>
  <si>
    <t>ccc1</t>
  </si>
  <si>
    <t>ccc2</t>
  </si>
  <si>
    <t>ccc3</t>
  </si>
  <si>
    <t>mylookup3</t>
  </si>
  <si>
    <t>max</t>
  </si>
  <si>
    <t>lower</t>
  </si>
  <si>
    <t>upper</t>
  </si>
  <si>
    <t>lowerval</t>
  </si>
  <si>
    <t>interp</t>
  </si>
  <si>
    <t>mySumPrd</t>
  </si>
  <si>
    <t>myIndMatch2</t>
  </si>
  <si>
    <t>in1</t>
  </si>
  <si>
    <t>apple</t>
  </si>
  <si>
    <t>orange</t>
  </si>
  <si>
    <t>banana</t>
  </si>
  <si>
    <t>pineapple</t>
  </si>
  <si>
    <t>carrot</t>
  </si>
  <si>
    <t>eggplant</t>
  </si>
  <si>
    <t>tomato</t>
  </si>
  <si>
    <t>asparagus</t>
  </si>
  <si>
    <t>criteria1</t>
  </si>
  <si>
    <t>criteria2</t>
  </si>
  <si>
    <t>criteria3</t>
  </si>
  <si>
    <t>result</t>
  </si>
  <si>
    <t>multipleLegacy</t>
  </si>
  <si>
    <t>multipleNew</t>
  </si>
  <si>
    <t>e</t>
  </si>
  <si>
    <t>f</t>
  </si>
  <si>
    <t>h</t>
  </si>
  <si>
    <t>i</t>
  </si>
  <si>
    <t>criteria</t>
  </si>
  <si>
    <t>k</t>
  </si>
  <si>
    <t>l</t>
  </si>
  <si>
    <t>o</t>
  </si>
  <si>
    <t>lemon</t>
  </si>
  <si>
    <t>using sumProduct designed to return sum of multiple values.</t>
  </si>
  <si>
    <t>Index match with multiple 4 equals criteria. Returns single numeric result.</t>
  </si>
  <si>
    <t>standard inexact index match.</t>
  </si>
  <si>
    <t>singleCriteriaInexact</t>
  </si>
  <si>
    <t>standard exact index match.</t>
  </si>
  <si>
    <t>singleCriteriaExact</t>
  </si>
  <si>
    <t>3a</t>
  </si>
  <si>
    <t>Exact index match multiple criteria</t>
  </si>
  <si>
    <t>3b</t>
  </si>
  <si>
    <t>Standard Lookup</t>
  </si>
  <si>
    <t>Inexact lookup, multiple criteria</t>
  </si>
  <si>
    <t>return inexact (Numeric)</t>
  </si>
  <si>
    <t>return corresponding numeric value</t>
  </si>
  <si>
    <t>1a</t>
  </si>
  <si>
    <t>Standard Sum Product</t>
  </si>
  <si>
    <t>1b</t>
  </si>
  <si>
    <t>5a</t>
  </si>
  <si>
    <t>5b</t>
  </si>
  <si>
    <t>5c</t>
  </si>
  <si>
    <t xml:space="preserve">Normal form (backward compatible). The Array function in formula means you don't have to use an "Array Formula", i.e ctrl-enter in older versions of excel. </t>
  </si>
  <si>
    <t>simpler version (skipping extra array function). Required "Array Formula" in older version of excel, meaning it must be entered with Ctrl-Enter</t>
  </si>
  <si>
    <t>res1</t>
  </si>
  <si>
    <t>res2</t>
  </si>
  <si>
    <t>res3</t>
  </si>
  <si>
    <t>MultiUseLookup</t>
  </si>
  <si>
    <t>1 Test Cases</t>
  </si>
  <si>
    <t>Criteria</t>
  </si>
  <si>
    <t>Predicted_result</t>
  </si>
  <si>
    <t>p</t>
  </si>
  <si>
    <t>inVal</t>
  </si>
  <si>
    <t>Lookup</t>
  </si>
  <si>
    <t>myLookupMaxSimple</t>
  </si>
  <si>
    <t>Note: SpreadsheetCoder doesn't attempt to replicate error states. If error handling is needed, handle explicitly.</t>
  </si>
  <si>
    <t>For example, if you put 'b' as the input for SingleCriteriaExact, the Excel calculation will return #N/A. The VBA translated code will return 'asparagus'.</t>
  </si>
  <si>
    <r>
      <t>Note: to recreate the functions on this page ensure S</t>
    </r>
    <r>
      <rPr>
        <i/>
        <sz val="11"/>
        <color theme="1"/>
        <rFont val="Calibri"/>
        <family val="2"/>
        <scheme val="minor"/>
      </rPr>
      <t xml:space="preserve">trict Mode </t>
    </r>
    <r>
      <rPr>
        <sz val="11"/>
        <color theme="1"/>
        <rFont val="Calibri"/>
        <family val="2"/>
        <scheme val="minor"/>
      </rPr>
      <t xml:space="preserve">is False, </t>
    </r>
    <r>
      <rPr>
        <i/>
        <sz val="11"/>
        <color theme="1"/>
        <rFont val="Calibri"/>
        <family val="2"/>
        <scheme val="minor"/>
      </rPr>
      <t xml:space="preserve">Test Cases </t>
    </r>
    <r>
      <rPr>
        <sz val="11"/>
        <color theme="1"/>
        <rFont val="Calibri"/>
        <family val="2"/>
        <scheme val="minor"/>
      </rPr>
      <t xml:space="preserve">is set to 'no test cases' and </t>
    </r>
    <r>
      <rPr>
        <i/>
        <sz val="11"/>
        <color theme="1"/>
        <rFont val="Calibri"/>
        <family val="2"/>
        <scheme val="minor"/>
      </rPr>
      <t>Use Named Ranges for Input/Outputs</t>
    </r>
    <r>
      <rPr>
        <sz val="11"/>
        <color theme="1"/>
        <rFont val="Calibri"/>
        <family val="2"/>
        <scheme val="minor"/>
      </rPr>
      <t xml:space="preserve"> is 'Don't Use'</t>
    </r>
  </si>
  <si>
    <t>index match where table has multiple possible matches.</t>
  </si>
  <si>
    <t>Value lookup based on 3 'equals' criteria</t>
  </si>
  <si>
    <t>myLookup1</t>
  </si>
  <si>
    <t>This option works fine too--just squish all the criteria together.</t>
  </si>
  <si>
    <t>linear interpolation with multiple criteria.</t>
  </si>
  <si>
    <t>upperval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</si>
</sst>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.0_);_(* \(#,##0.0\);_(* &quot;-&quot;??_);_(@_)"/>
    <numFmt numFmtId="166" formatCode="_(* #,##0.00000_);_(* \(#,##0.000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165" fontId="0" fillId="0" borderId="0" xfId="0" applyNumberFormat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65" fontId="0" fillId="0" borderId="0" xfId="1" applyNumberFormat="1" applyFont="1"/>
    <xf numFmtId="0" fontId="2" fillId="0" borderId="0" xfId="0" applyFont="1" applyAlignment="1">
      <alignment horizontal="left"/>
    </xf>
    <xf numFmtId="0" fontId="2" fillId="0" borderId="0" xfId="0" applyFont="1"/>
    <xf numFmtId="166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</cellXfs>
  <cellStyles count="2">
    <cellStyle name="Comma" xfId="1" builtinId="3"/>
    <cellStyle name="Normal" xfId="0" builtinId="0"/>
  </cellStyles>
  <dxfs count="2">
    <dxf>
      <numFmt numFmtId="165" formatCode="_(* #,##0.0_);_(* \(#,##0.0\);_(* &quot;-&quot;??_);_(@_)"/>
    </dxf>
    <dxf>
      <numFmt numFmtId="165" formatCode="_(* #,##0.0_);_(* \(#,##0.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463550</xdr:colOff>
      <xdr:row>1</xdr:row>
      <xdr:rowOff>31750</xdr:rowOff>
    </xdr:from>
    <xdr:to>
      <xdr:col>8</xdr:col>
      <xdr:colOff>342900</xdr:colOff>
      <xdr:row>19</xdr:row>
      <xdr:rowOff>146050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1835634-E0B3-A09E-1BBD-D57B9372C012}"/>
            </a:ext>
          </a:extLst>
        </xdr:cNvPr>
        <xdr:cNvSpPr txBox="1"/>
      </xdr:nvSpPr>
      <xdr:spPr>
        <a:xfrm>
          <a:off x="463550" y="215900"/>
          <a:ext cx="4756150" cy="342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 is commonly associated with mathematical calculations, but it's also frequently used for lookups. Many people use "vlookup" or prefer "index match." But Excel offers various methods for similar lookups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SpreadsheetCoder supports these common methods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the simple scenarios.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complex lookups, like those with multiple criteria or inexact matches, there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are also numerous ways to achieve the correct result.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However, to ensure SpreadsheetCoder translates them efficiently, it's crucial to follow specific standardized patterns especially for the complex examples. This document guides you on using the standarized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functions and patterns through reference examples.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on Excel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tables</a:t>
          </a:r>
          <a:endParaRPr lang="en-US">
            <a:effectLst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Excel tables makes your code easier to read compared to using ranges. The examples on the next sheets use tables and standardized patterns that spreadsheet coder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recognizes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Using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tables and the standardized patterns has an extra benefit when translating to TeraData Script.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that case, SpreadsheetCoder uses the similarities between Excel tables and database tables to produce more efficient SQL code for lookups.</a:t>
          </a:r>
          <a:endParaRPr lang="en-US">
            <a:effectLst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A743F0-E8A5-4ED7-90BB-F892110ED961}" name="Table2" displayName="Table2" ref="B3:C12" totalsRowShown="0">
  <autoFilter ref="B3:C12" xr:uid="{55A743F0-E8A5-4ED7-90BB-F892110ED961}"/>
  <tableColumns count="2">
    <tableColumn id="1" xr3:uid="{E1AB9102-5904-417A-B2A2-FC130CD2D05C}" name="criteria"/>
    <tableColumn id="2" xr3:uid="{077EF46D-C146-45C9-862C-6EEDCEB893EB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0FD7E-3596-4C95-B4D7-77981A2872E8}" name="Table3" displayName="Table3" ref="B38:E46" totalsRowShown="0">
  <autoFilter ref="B38:E46" xr:uid="{65B0FD7E-3596-4C95-B4D7-77981A2872E8}"/>
  <tableColumns count="4">
    <tableColumn id="1" xr3:uid="{723C034A-3466-4CA7-A2BD-D137C5C80077}" name="criteria1"/>
    <tableColumn id="2" xr3:uid="{21A0EC48-E9C5-4A3D-9690-F501FC1D0497}" name="criteria2"/>
    <tableColumn id="3" xr3:uid="{FFCCF247-949F-4EDA-AB8F-183E653AF09E}" name="criteria3"/>
    <tableColumn id="4" xr3:uid="{DCCF9BAF-D1F0-4325-88F4-B889E4C3253A}" name="resul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0339BC-ACB3-44CC-950C-A45129F08EE2}" name="Table4" displayName="Table4" ref="B23:C32" totalsRowShown="0">
  <autoFilter ref="B23:C32" xr:uid="{220339BC-ACB3-44CC-950C-A45129F08EE2}"/>
  <tableColumns count="2">
    <tableColumn id="1" xr3:uid="{D0238195-33F1-4708-9D96-C99D4A6E0759}" name="criteria"/>
    <tableColumn id="2" xr3:uid="{A516087F-71B5-4F40-9EC7-179C67F34071}" name="resul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DEE76D-3958-4070-A7B8-6DC0B8204531}" name="MyTestTable" displayName="MyTestTable" ref="D3:I110" totalsRowShown="0">
  <autoFilter ref="D3:I110" xr:uid="{61DEE76D-3958-4070-A7B8-6DC0B8204531}"/>
  <tableColumns count="6">
    <tableColumn id="1" xr3:uid="{448F5E87-4E99-46D4-8ABD-860538A407B1}" name="Field1"/>
    <tableColumn id="2" xr3:uid="{8A1335C0-610A-4F16-BEDA-23F680854FCE}" name="Field2"/>
    <tableColumn id="3" xr3:uid="{2263BDFB-2F57-420D-8855-8730582CDC57}" name="Field3"/>
    <tableColumn id="4" xr3:uid="{5883486E-D9EA-4D56-84E4-D4D06FE141E2}" name="order"/>
    <tableColumn id="5" xr3:uid="{30C7EA4E-B2E1-47FD-BA13-0F5BC5F23683}" name="lookup" dataDxfId="1"/>
    <tableColumn id="6" xr3:uid="{119FDA9D-0B8C-4900-B958-B5140E8995F6}" name="v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9586F-08D0-4A51-A195-3A39825A839B}">
  <sheetPr codeName="Sheet3"/>
  <dimension ref="A1"/>
  <sheetViews>
    <sheetView workbookViewId="0">
      <selection activeCell="K13" sqref="K13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D09F-B0A3-46CE-A3B5-0174EA64DCF3}">
  <sheetPr codeName="Sheet1"/>
  <dimension ref="B1:I52"/>
  <sheetViews>
    <sheetView topLeftCell="A36" workbookViewId="0">
      <selection activeCell="F10" sqref="F10"/>
    </sheetView>
  </sheetViews>
  <sheetFormatPr defaultRowHeight="14.5" x14ac:dyDescent="0.35"/>
  <cols>
    <col min="5" max="5" width="18.08984375" customWidth="1"/>
    <col min="17" max="19" width="9.6328125" customWidth="1"/>
  </cols>
  <sheetData>
    <row r="1" spans="2:9" x14ac:dyDescent="0.35">
      <c r="B1" t="s">
        <v>195</v>
      </c>
    </row>
    <row r="3" spans="2:9" x14ac:dyDescent="0.35">
      <c r="B3" t="s">
        <v>156</v>
      </c>
      <c r="C3" t="s">
        <v>149</v>
      </c>
      <c r="E3" s="5">
        <v>1</v>
      </c>
      <c r="H3" t="s">
        <v>186</v>
      </c>
    </row>
    <row r="4" spans="2:9" x14ac:dyDescent="0.35">
      <c r="B4" t="s">
        <v>0</v>
      </c>
      <c r="C4" t="s">
        <v>160</v>
      </c>
      <c r="E4" t="s">
        <v>163</v>
      </c>
    </row>
    <row r="5" spans="2:9" x14ac:dyDescent="0.35">
      <c r="B5" t="s">
        <v>2</v>
      </c>
      <c r="C5" t="s">
        <v>138</v>
      </c>
      <c r="H5" t="s">
        <v>187</v>
      </c>
      <c r="I5" t="s">
        <v>188</v>
      </c>
    </row>
    <row r="6" spans="2:9" x14ac:dyDescent="0.35">
      <c r="B6" t="s">
        <v>152</v>
      </c>
      <c r="C6" t="s">
        <v>139</v>
      </c>
      <c r="H6" t="s">
        <v>0</v>
      </c>
      <c r="I6" t="str" cm="1">
        <f t="array" ref="I6">singleCriteriaInexact(H6)</f>
        <v>lemon</v>
      </c>
    </row>
    <row r="7" spans="2:9" x14ac:dyDescent="0.35">
      <c r="B7" t="s">
        <v>153</v>
      </c>
      <c r="C7" t="s">
        <v>140</v>
      </c>
      <c r="E7" t="s">
        <v>156</v>
      </c>
      <c r="F7" s="2" t="s">
        <v>0</v>
      </c>
      <c r="H7" t="s">
        <v>1</v>
      </c>
      <c r="I7" t="str" cm="1">
        <f t="array" ref="I7">singleCriteriaInexact(H7)</f>
        <v>lemon</v>
      </c>
    </row>
    <row r="8" spans="2:9" x14ac:dyDescent="0.35">
      <c r="B8" t="s">
        <v>154</v>
      </c>
      <c r="C8" t="s">
        <v>141</v>
      </c>
      <c r="H8" t="s">
        <v>2</v>
      </c>
      <c r="I8" t="str" cm="1">
        <f t="array" ref="I8">singleCriteriaInexact(H8)</f>
        <v>apple</v>
      </c>
    </row>
    <row r="9" spans="2:9" x14ac:dyDescent="0.35">
      <c r="B9" t="s">
        <v>155</v>
      </c>
      <c r="C9" t="s">
        <v>142</v>
      </c>
      <c r="E9" t="s">
        <v>164</v>
      </c>
      <c r="F9" t="str">
        <f>INDEX(Table2[result],MATCH(F7,Table2[criteria],1))</f>
        <v>lemon</v>
      </c>
      <c r="H9" t="s">
        <v>153</v>
      </c>
      <c r="I9" t="str" cm="1">
        <f t="array" ref="I9">singleCriteriaInexact(H9)</f>
        <v>banana</v>
      </c>
    </row>
    <row r="10" spans="2:9" x14ac:dyDescent="0.35">
      <c r="B10" t="s">
        <v>157</v>
      </c>
      <c r="C10" t="s">
        <v>143</v>
      </c>
      <c r="E10" t="s">
        <v>9</v>
      </c>
      <c r="F10" t="str" cm="1">
        <f t="array" ref="F10">singleCriteriaInexact(F7)</f>
        <v>lemon</v>
      </c>
      <c r="H10" t="s">
        <v>154</v>
      </c>
      <c r="I10" t="str" cm="1">
        <f t="array" ref="I10">singleCriteriaInexact(H10)</f>
        <v>pineapple</v>
      </c>
    </row>
    <row r="11" spans="2:9" x14ac:dyDescent="0.35">
      <c r="B11" t="s">
        <v>158</v>
      </c>
      <c r="C11" t="s">
        <v>144</v>
      </c>
      <c r="H11" t="s">
        <v>155</v>
      </c>
      <c r="I11" t="str" cm="1">
        <f t="array" ref="I11">singleCriteriaInexact(H11)</f>
        <v>carrot</v>
      </c>
    </row>
    <row r="12" spans="2:9" x14ac:dyDescent="0.35">
      <c r="B12" t="s">
        <v>159</v>
      </c>
      <c r="C12" t="s">
        <v>145</v>
      </c>
      <c r="H12" t="s">
        <v>157</v>
      </c>
      <c r="I12" t="str" cm="1">
        <f t="array" ref="I12">singleCriteriaInexact(H12)</f>
        <v>eggplant</v>
      </c>
    </row>
    <row r="13" spans="2:9" x14ac:dyDescent="0.35">
      <c r="E13" s="5">
        <v>2</v>
      </c>
      <c r="H13" t="s">
        <v>158</v>
      </c>
      <c r="I13" t="str" cm="1">
        <f t="array" ref="I13">singleCriteriaInexact(H13)</f>
        <v>tomato</v>
      </c>
    </row>
    <row r="14" spans="2:9" x14ac:dyDescent="0.35">
      <c r="E14" t="s">
        <v>165</v>
      </c>
      <c r="H14" t="s">
        <v>189</v>
      </c>
      <c r="I14" t="str" cm="1">
        <f t="array" ref="I14">singleCriteriaInexact(H14)</f>
        <v>asparagus</v>
      </c>
    </row>
    <row r="17" spans="2:8" x14ac:dyDescent="0.35">
      <c r="E17" t="s">
        <v>156</v>
      </c>
      <c r="F17" s="2" t="s">
        <v>0</v>
      </c>
      <c r="H17" t="s">
        <v>193</v>
      </c>
    </row>
    <row r="18" spans="2:8" x14ac:dyDescent="0.35">
      <c r="H18" t="s">
        <v>194</v>
      </c>
    </row>
    <row r="19" spans="2:8" x14ac:dyDescent="0.35">
      <c r="E19" t="s">
        <v>166</v>
      </c>
      <c r="F19" t="str">
        <f>INDEX(Table2[result],MATCH(F17,Table2[criteria],0))</f>
        <v>lemon</v>
      </c>
    </row>
    <row r="20" spans="2:8" x14ac:dyDescent="0.35">
      <c r="E20" t="s">
        <v>9</v>
      </c>
      <c r="F20" t="str" cm="1">
        <f t="array" ref="F20">singleCriteriaExact(F17)</f>
        <v>lemon</v>
      </c>
    </row>
    <row r="23" spans="2:8" x14ac:dyDescent="0.35">
      <c r="B23" t="s">
        <v>156</v>
      </c>
      <c r="C23" t="s">
        <v>149</v>
      </c>
      <c r="E23" s="5"/>
    </row>
    <row r="24" spans="2:8" x14ac:dyDescent="0.35">
      <c r="B24" t="s">
        <v>0</v>
      </c>
      <c r="C24">
        <v>5</v>
      </c>
      <c r="E24" t="s">
        <v>146</v>
      </c>
      <c r="F24" s="2" t="s">
        <v>0</v>
      </c>
    </row>
    <row r="25" spans="2:8" x14ac:dyDescent="0.35">
      <c r="B25" t="s">
        <v>2</v>
      </c>
      <c r="C25">
        <v>8</v>
      </c>
      <c r="E25" t="s">
        <v>147</v>
      </c>
      <c r="F25" s="2" t="s">
        <v>152</v>
      </c>
    </row>
    <row r="26" spans="2:8" x14ac:dyDescent="0.35">
      <c r="B26" t="s">
        <v>152</v>
      </c>
      <c r="C26">
        <v>2</v>
      </c>
      <c r="E26" t="s">
        <v>148</v>
      </c>
      <c r="F26" s="2" t="s">
        <v>159</v>
      </c>
    </row>
    <row r="27" spans="2:8" x14ac:dyDescent="0.35">
      <c r="B27" t="s">
        <v>153</v>
      </c>
      <c r="C27">
        <v>6</v>
      </c>
    </row>
    <row r="28" spans="2:8" x14ac:dyDescent="0.35">
      <c r="B28" t="s">
        <v>154</v>
      </c>
      <c r="C28">
        <v>1</v>
      </c>
      <c r="E28" t="s">
        <v>182</v>
      </c>
      <c r="F28">
        <f>INDEX(Table4[result],MATCH(F24,Table4[criteria],0))</f>
        <v>5</v>
      </c>
    </row>
    <row r="29" spans="2:8" x14ac:dyDescent="0.35">
      <c r="B29" t="s">
        <v>155</v>
      </c>
      <c r="C29">
        <v>78</v>
      </c>
      <c r="E29" t="s">
        <v>183</v>
      </c>
      <c r="F29">
        <f>INDEX(Table4[result],MATCH(F25,Table4[criteria],0))</f>
        <v>2</v>
      </c>
    </row>
    <row r="30" spans="2:8" x14ac:dyDescent="0.35">
      <c r="B30" t="s">
        <v>157</v>
      </c>
      <c r="C30">
        <v>1</v>
      </c>
      <c r="E30" t="s">
        <v>184</v>
      </c>
      <c r="F30">
        <f>INDEX(Table4[result],MATCH(F26,Table4[criteria],0))</f>
        <v>4</v>
      </c>
    </row>
    <row r="31" spans="2:8" x14ac:dyDescent="0.35">
      <c r="B31" t="s">
        <v>158</v>
      </c>
      <c r="C31">
        <v>3</v>
      </c>
    </row>
    <row r="32" spans="2:8" x14ac:dyDescent="0.35">
      <c r="B32" t="s">
        <v>159</v>
      </c>
      <c r="C32">
        <v>4</v>
      </c>
      <c r="E32" t="s">
        <v>185</v>
      </c>
      <c r="F32">
        <f>SUM(F28:F30)</f>
        <v>11</v>
      </c>
    </row>
    <row r="36" spans="2:8" x14ac:dyDescent="0.35">
      <c r="G36" s="5" t="s">
        <v>167</v>
      </c>
    </row>
    <row r="37" spans="2:8" x14ac:dyDescent="0.35">
      <c r="G37" t="s">
        <v>168</v>
      </c>
    </row>
    <row r="38" spans="2:8" x14ac:dyDescent="0.35">
      <c r="B38" t="s">
        <v>146</v>
      </c>
      <c r="C38" t="s">
        <v>147</v>
      </c>
      <c r="D38" t="s">
        <v>148</v>
      </c>
      <c r="E38" t="s">
        <v>149</v>
      </c>
      <c r="G38" t="s">
        <v>180</v>
      </c>
    </row>
    <row r="39" spans="2:8" x14ac:dyDescent="0.35">
      <c r="B39" t="s">
        <v>0</v>
      </c>
      <c r="C39" t="s">
        <v>0</v>
      </c>
      <c r="D39" t="s">
        <v>0</v>
      </c>
      <c r="E39" t="s">
        <v>138</v>
      </c>
    </row>
    <row r="40" spans="2:8" x14ac:dyDescent="0.35">
      <c r="B40" t="s">
        <v>0</v>
      </c>
      <c r="C40" t="s">
        <v>0</v>
      </c>
      <c r="D40" t="s">
        <v>2</v>
      </c>
      <c r="E40" t="s">
        <v>139</v>
      </c>
      <c r="G40" t="s">
        <v>146</v>
      </c>
      <c r="H40" s="2" t="s">
        <v>0</v>
      </c>
    </row>
    <row r="41" spans="2:8" x14ac:dyDescent="0.35">
      <c r="B41" t="s">
        <v>0</v>
      </c>
      <c r="C41" t="s">
        <v>1</v>
      </c>
      <c r="D41" t="s">
        <v>0</v>
      </c>
      <c r="E41" t="s">
        <v>140</v>
      </c>
      <c r="G41" t="s">
        <v>147</v>
      </c>
      <c r="H41" s="2" t="s">
        <v>1</v>
      </c>
    </row>
    <row r="42" spans="2:8" x14ac:dyDescent="0.35">
      <c r="B42" t="s">
        <v>0</v>
      </c>
      <c r="C42" t="s">
        <v>1</v>
      </c>
      <c r="D42" t="s">
        <v>2</v>
      </c>
      <c r="E42" t="s">
        <v>141</v>
      </c>
      <c r="G42" t="s">
        <v>148</v>
      </c>
      <c r="H42" s="2" t="s">
        <v>2</v>
      </c>
    </row>
    <row r="43" spans="2:8" x14ac:dyDescent="0.35">
      <c r="B43" t="s">
        <v>1</v>
      </c>
      <c r="C43" t="s">
        <v>0</v>
      </c>
      <c r="D43" t="s">
        <v>0</v>
      </c>
      <c r="E43" t="s">
        <v>142</v>
      </c>
    </row>
    <row r="44" spans="2:8" x14ac:dyDescent="0.35">
      <c r="B44" t="s">
        <v>1</v>
      </c>
      <c r="C44" t="s">
        <v>0</v>
      </c>
      <c r="D44" t="s">
        <v>2</v>
      </c>
      <c r="E44" t="s">
        <v>143</v>
      </c>
      <c r="G44" t="s">
        <v>150</v>
      </c>
      <c r="H44" t="str" cm="1">
        <f t="array" ref="H44">INDEX(Table3[result],MATCH(1,INDEX((Table3[criteria1]=H40)*(Table3[criteria2]=H41)*(Table3[criteria3]=H42),0,1),0))</f>
        <v>pineapple</v>
      </c>
    </row>
    <row r="45" spans="2:8" x14ac:dyDescent="0.35">
      <c r="B45" t="s">
        <v>1</v>
      </c>
      <c r="C45" t="s">
        <v>1</v>
      </c>
      <c r="D45" t="s">
        <v>0</v>
      </c>
      <c r="E45" t="s">
        <v>144</v>
      </c>
      <c r="G45" t="s">
        <v>9</v>
      </c>
      <c r="H45" t="str" cm="1">
        <f t="array" ref="H45">multipleLegacy(H40,H41,H42)</f>
        <v>pineapple</v>
      </c>
    </row>
    <row r="46" spans="2:8" x14ac:dyDescent="0.35">
      <c r="B46" t="s">
        <v>1</v>
      </c>
      <c r="C46" t="s">
        <v>1</v>
      </c>
      <c r="D46" t="s">
        <v>2</v>
      </c>
      <c r="E46" t="s">
        <v>145</v>
      </c>
    </row>
    <row r="47" spans="2:8" x14ac:dyDescent="0.35">
      <c r="G47" s="6" t="s">
        <v>169</v>
      </c>
    </row>
    <row r="48" spans="2:8" x14ac:dyDescent="0.35">
      <c r="G48" t="s">
        <v>168</v>
      </c>
    </row>
    <row r="49" spans="7:8" x14ac:dyDescent="0.35">
      <c r="G49" t="s">
        <v>181</v>
      </c>
    </row>
    <row r="51" spans="7:8" x14ac:dyDescent="0.35">
      <c r="G51" t="s">
        <v>151</v>
      </c>
      <c r="H51" t="str" cm="1">
        <f t="array" ref="H51">INDEX(Table3[result],MATCH(1,(Table3[criteria1]=H40)*(Table3[criteria2]=H41)*(Table3[criteria3]=H42),0))</f>
        <v>pineapple</v>
      </c>
    </row>
    <row r="52" spans="7:8" x14ac:dyDescent="0.35">
      <c r="G52" t="s">
        <v>9</v>
      </c>
      <c r="H52" t="str" cm="1">
        <f t="array" ref="H52">multipleNew(H40,H41,H42)</f>
        <v>pineapple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6F8C-A441-4CBA-BC71-5116CC47FC11}">
  <sheetPr codeName="Sheet2"/>
  <dimension ref="B3:T110"/>
  <sheetViews>
    <sheetView tabSelected="1" topLeftCell="A62" workbookViewId="0">
      <selection activeCell="J71" sqref="J71"/>
    </sheetView>
  </sheetViews>
  <sheetFormatPr defaultRowHeight="14.5" x14ac:dyDescent="0.35"/>
  <cols>
    <col min="8" max="8" width="10.453125" customWidth="1"/>
    <col min="9" max="10" width="14.453125" bestFit="1" customWidth="1"/>
    <col min="11" max="16" width="14.453125" customWidth="1"/>
    <col min="17" max="18" width="18.54296875" bestFit="1" customWidth="1"/>
    <col min="19" max="19" width="18.54296875" customWidth="1"/>
    <col min="20" max="20" width="11.453125" customWidth="1"/>
    <col min="21" max="21" width="11" bestFit="1" customWidth="1"/>
  </cols>
  <sheetData>
    <row r="3" spans="2:20" x14ac:dyDescent="0.35">
      <c r="D3" t="s">
        <v>11</v>
      </c>
      <c r="E3" t="s">
        <v>12</v>
      </c>
      <c r="F3" t="s">
        <v>13</v>
      </c>
      <c r="G3" t="s">
        <v>5</v>
      </c>
      <c r="H3" t="s">
        <v>4</v>
      </c>
      <c r="I3" t="s">
        <v>3</v>
      </c>
      <c r="K3" s="6" t="s">
        <v>174</v>
      </c>
      <c r="P3" s="10" t="s">
        <v>191</v>
      </c>
      <c r="Q3" s="11" t="s">
        <v>3</v>
      </c>
      <c r="S3" t="s">
        <v>4</v>
      </c>
      <c r="T3" s="2">
        <v>4.0999999999999996</v>
      </c>
    </row>
    <row r="4" spans="2:20" x14ac:dyDescent="0.35">
      <c r="B4" t="s">
        <v>22</v>
      </c>
      <c r="D4" t="s">
        <v>0</v>
      </c>
      <c r="E4" t="s">
        <v>0</v>
      </c>
      <c r="F4" t="s">
        <v>0</v>
      </c>
      <c r="G4">
        <v>0</v>
      </c>
      <c r="H4" s="1">
        <v>0</v>
      </c>
      <c r="I4" s="1">
        <v>1</v>
      </c>
      <c r="K4" t="s">
        <v>175</v>
      </c>
      <c r="P4" s="12">
        <v>1</v>
      </c>
      <c r="Q4" s="13">
        <v>10</v>
      </c>
      <c r="S4" t="s">
        <v>192</v>
      </c>
      <c r="T4" cm="1">
        <f t="array" ref="T4">SUMPRODUCT(MAX(('Complex examples'!$P$4:$P$8&lt;=T3)*'Complex examples'!$Q$4:$Q$8))</f>
        <v>13</v>
      </c>
    </row>
    <row r="5" spans="2:20" x14ac:dyDescent="0.35">
      <c r="B5" t="s">
        <v>23</v>
      </c>
      <c r="D5" t="s">
        <v>0</v>
      </c>
      <c r="E5" t="s">
        <v>0</v>
      </c>
      <c r="F5" t="s">
        <v>0</v>
      </c>
      <c r="G5">
        <v>1</v>
      </c>
      <c r="H5" s="1">
        <v>1.5261890228122563</v>
      </c>
      <c r="I5" s="1">
        <v>546318.83737814485</v>
      </c>
      <c r="P5" s="14">
        <v>2</v>
      </c>
      <c r="Q5" s="15">
        <v>11</v>
      </c>
    </row>
    <row r="6" spans="2:20" x14ac:dyDescent="0.35">
      <c r="B6" t="s">
        <v>24</v>
      </c>
      <c r="D6" t="s">
        <v>0</v>
      </c>
      <c r="E6" t="s">
        <v>0</v>
      </c>
      <c r="F6" t="s">
        <v>0</v>
      </c>
      <c r="G6">
        <v>2</v>
      </c>
      <c r="H6" s="1">
        <v>3</v>
      </c>
      <c r="I6" s="1">
        <v>1037307.0567016189</v>
      </c>
      <c r="K6" t="s">
        <v>137</v>
      </c>
      <c r="L6" s="2" t="s">
        <v>1</v>
      </c>
      <c r="P6" s="12">
        <v>3</v>
      </c>
      <c r="Q6" s="13">
        <v>12</v>
      </c>
    </row>
    <row r="7" spans="2:20" x14ac:dyDescent="0.35">
      <c r="B7" t="s">
        <v>25</v>
      </c>
      <c r="D7" t="s">
        <v>0</v>
      </c>
      <c r="E7" t="s">
        <v>0</v>
      </c>
      <c r="F7" t="s">
        <v>0</v>
      </c>
      <c r="G7">
        <v>3</v>
      </c>
      <c r="H7" s="1">
        <v>6.5255204875320274</v>
      </c>
      <c r="I7" s="1">
        <v>1299951.4226145379</v>
      </c>
      <c r="P7" s="14">
        <v>4</v>
      </c>
      <c r="Q7" s="15">
        <v>13</v>
      </c>
    </row>
    <row r="8" spans="2:20" x14ac:dyDescent="0.35">
      <c r="B8" t="s">
        <v>26</v>
      </c>
      <c r="D8" t="s">
        <v>0</v>
      </c>
      <c r="E8" t="s">
        <v>0</v>
      </c>
      <c r="F8" t="s">
        <v>1</v>
      </c>
      <c r="G8">
        <v>0</v>
      </c>
      <c r="H8" s="1">
        <v>0</v>
      </c>
      <c r="I8" s="1">
        <v>1</v>
      </c>
      <c r="K8" t="s">
        <v>135</v>
      </c>
      <c r="L8" cm="1">
        <f t="array" ref="L8">SUMPRODUCT((MyTestTable[Field1]=L6)*(MyTestTable[val]))</f>
        <v>3918915.2917211195</v>
      </c>
      <c r="P8" s="8">
        <v>5</v>
      </c>
      <c r="Q8" s="9">
        <v>14</v>
      </c>
    </row>
    <row r="9" spans="2:20" x14ac:dyDescent="0.35">
      <c r="B9" t="s">
        <v>27</v>
      </c>
      <c r="D9" t="s">
        <v>0</v>
      </c>
      <c r="E9" t="s">
        <v>0</v>
      </c>
      <c r="F9" t="s">
        <v>1</v>
      </c>
      <c r="G9">
        <v>1</v>
      </c>
      <c r="H9" s="1">
        <v>457.89715574024206</v>
      </c>
      <c r="I9" s="1">
        <v>6800948.9139359165</v>
      </c>
      <c r="L9" cm="1">
        <f t="array" ref="L9">mySumPrd(L6)</f>
        <v>3918915.2917211186</v>
      </c>
    </row>
    <row r="10" spans="2:20" x14ac:dyDescent="0.35">
      <c r="B10" t="s">
        <v>28</v>
      </c>
      <c r="D10" t="s">
        <v>0</v>
      </c>
      <c r="E10" t="s">
        <v>0</v>
      </c>
      <c r="F10" t="s">
        <v>1</v>
      </c>
      <c r="G10">
        <v>2</v>
      </c>
      <c r="H10" s="1">
        <v>665.41974818871267</v>
      </c>
      <c r="I10" s="1">
        <v>30577029.059039161</v>
      </c>
    </row>
    <row r="11" spans="2:20" x14ac:dyDescent="0.35">
      <c r="B11" t="s">
        <v>29</v>
      </c>
      <c r="D11" t="s">
        <v>0</v>
      </c>
      <c r="E11" t="s">
        <v>0</v>
      </c>
      <c r="F11" t="s">
        <v>1</v>
      </c>
      <c r="G11">
        <v>3</v>
      </c>
      <c r="H11" s="1">
        <v>732.96431435521231</v>
      </c>
      <c r="I11" s="1">
        <v>64587928.142886072</v>
      </c>
      <c r="K11" s="6" t="s">
        <v>176</v>
      </c>
    </row>
    <row r="12" spans="2:20" x14ac:dyDescent="0.35">
      <c r="B12" t="s">
        <v>30</v>
      </c>
      <c r="D12" t="s">
        <v>0</v>
      </c>
      <c r="E12" t="s">
        <v>0</v>
      </c>
      <c r="F12" t="s">
        <v>2</v>
      </c>
      <c r="G12">
        <v>0</v>
      </c>
      <c r="H12" s="1">
        <v>0</v>
      </c>
      <c r="I12" s="1">
        <v>1</v>
      </c>
      <c r="K12" t="s">
        <v>196</v>
      </c>
    </row>
    <row r="13" spans="2:20" x14ac:dyDescent="0.35">
      <c r="B13" t="s">
        <v>31</v>
      </c>
      <c r="D13" t="s">
        <v>0</v>
      </c>
      <c r="E13" t="s">
        <v>0</v>
      </c>
      <c r="F13" t="s">
        <v>2</v>
      </c>
      <c r="G13">
        <v>1</v>
      </c>
      <c r="H13" s="1">
        <v>3592.9938823812686</v>
      </c>
      <c r="I13" s="1">
        <v>36462125.075147875</v>
      </c>
      <c r="K13" t="s">
        <v>136</v>
      </c>
      <c r="L13">
        <f>INDEX(MyTestTable[val],MATCH(L6,MyTestTable[Field1],0))</f>
        <v>14.645643749229539</v>
      </c>
    </row>
    <row r="14" spans="2:20" x14ac:dyDescent="0.35">
      <c r="B14" t="s">
        <v>32</v>
      </c>
      <c r="D14" t="s">
        <v>0</v>
      </c>
      <c r="E14" t="s">
        <v>0</v>
      </c>
      <c r="F14" t="s">
        <v>2</v>
      </c>
      <c r="G14">
        <v>2</v>
      </c>
      <c r="H14" s="1">
        <v>4317.4518143079749</v>
      </c>
      <c r="I14" s="1">
        <v>48438287.635287218</v>
      </c>
      <c r="K14" t="s">
        <v>9</v>
      </c>
      <c r="L14" cm="1">
        <f t="array" ref="L14">myIndMatch2(L6)</f>
        <v>14.6456437492295</v>
      </c>
    </row>
    <row r="15" spans="2:20" x14ac:dyDescent="0.35">
      <c r="B15" t="s">
        <v>33</v>
      </c>
      <c r="D15" t="s">
        <v>0</v>
      </c>
      <c r="E15" t="s">
        <v>0</v>
      </c>
      <c r="F15" t="s">
        <v>2</v>
      </c>
      <c r="G15">
        <v>3</v>
      </c>
      <c r="H15" s="1">
        <v>5145.536758387444</v>
      </c>
      <c r="I15" s="1">
        <v>53042320.468393937</v>
      </c>
    </row>
    <row r="16" spans="2:20" x14ac:dyDescent="0.35">
      <c r="B16" t="s">
        <v>34</v>
      </c>
      <c r="D16" t="s">
        <v>0</v>
      </c>
      <c r="E16" t="s">
        <v>1</v>
      </c>
      <c r="F16" t="s">
        <v>0</v>
      </c>
      <c r="G16">
        <v>0</v>
      </c>
      <c r="H16" s="1">
        <v>0</v>
      </c>
      <c r="I16" s="1">
        <v>0.1</v>
      </c>
      <c r="K16" s="5">
        <v>2</v>
      </c>
    </row>
    <row r="17" spans="2:12" x14ac:dyDescent="0.35">
      <c r="B17" t="s">
        <v>35</v>
      </c>
      <c r="D17" t="s">
        <v>0</v>
      </c>
      <c r="E17" t="s">
        <v>1</v>
      </c>
      <c r="F17" t="s">
        <v>0</v>
      </c>
      <c r="G17">
        <v>1</v>
      </c>
      <c r="H17" s="1">
        <v>1786.3712131444156</v>
      </c>
      <c r="I17" s="1">
        <v>0.22712616889310794</v>
      </c>
      <c r="K17" t="s">
        <v>197</v>
      </c>
    </row>
    <row r="18" spans="2:12" x14ac:dyDescent="0.35">
      <c r="B18" t="s">
        <v>36</v>
      </c>
      <c r="D18" t="s">
        <v>0</v>
      </c>
      <c r="E18" t="s">
        <v>1</v>
      </c>
      <c r="F18" t="s">
        <v>0</v>
      </c>
      <c r="G18">
        <v>2</v>
      </c>
      <c r="H18" s="1">
        <v>2650.1850237489953</v>
      </c>
      <c r="I18" s="1">
        <v>0.37457202935904388</v>
      </c>
      <c r="K18" t="s">
        <v>161</v>
      </c>
    </row>
    <row r="19" spans="2:12" x14ac:dyDescent="0.35">
      <c r="B19" t="s">
        <v>37</v>
      </c>
      <c r="D19" t="s">
        <v>0</v>
      </c>
      <c r="E19" t="s">
        <v>1</v>
      </c>
      <c r="F19" t="s">
        <v>0</v>
      </c>
      <c r="G19">
        <v>3</v>
      </c>
      <c r="H19" s="1">
        <v>3118.6786834445575</v>
      </c>
      <c r="I19" s="1">
        <v>0.758624074119986</v>
      </c>
    </row>
    <row r="20" spans="2:12" x14ac:dyDescent="0.35">
      <c r="B20" t="s">
        <v>38</v>
      </c>
      <c r="D20" t="s">
        <v>0</v>
      </c>
      <c r="E20" t="s">
        <v>1</v>
      </c>
      <c r="F20" t="s">
        <v>1</v>
      </c>
      <c r="G20">
        <v>0</v>
      </c>
      <c r="H20" s="1">
        <v>0</v>
      </c>
      <c r="I20" s="1">
        <v>1</v>
      </c>
      <c r="K20" t="s">
        <v>8</v>
      </c>
      <c r="L20" s="2" t="s">
        <v>2</v>
      </c>
    </row>
    <row r="21" spans="2:12" x14ac:dyDescent="0.35">
      <c r="B21" t="s">
        <v>39</v>
      </c>
      <c r="D21" t="s">
        <v>0</v>
      </c>
      <c r="E21" t="s">
        <v>1</v>
      </c>
      <c r="F21" t="s">
        <v>1</v>
      </c>
      <c r="G21">
        <v>1</v>
      </c>
      <c r="H21" s="1">
        <v>1068.9539981067799</v>
      </c>
      <c r="I21" s="1">
        <v>60653.911812046506</v>
      </c>
      <c r="K21" t="s">
        <v>7</v>
      </c>
      <c r="L21" s="2" t="s">
        <v>0</v>
      </c>
    </row>
    <row r="22" spans="2:12" x14ac:dyDescent="0.35">
      <c r="B22" t="s">
        <v>40</v>
      </c>
      <c r="D22" t="s">
        <v>0</v>
      </c>
      <c r="E22" t="s">
        <v>1</v>
      </c>
      <c r="F22" t="s">
        <v>1</v>
      </c>
      <c r="G22">
        <v>2</v>
      </c>
      <c r="H22" s="1">
        <v>1643.0837159550099</v>
      </c>
      <c r="I22" s="1">
        <v>137161.14910324372</v>
      </c>
      <c r="K22" t="s">
        <v>6</v>
      </c>
      <c r="L22" s="2" t="s">
        <v>1</v>
      </c>
    </row>
    <row r="23" spans="2:12" x14ac:dyDescent="0.35">
      <c r="B23" t="s">
        <v>41</v>
      </c>
      <c r="D23" t="s">
        <v>0</v>
      </c>
      <c r="E23" t="s">
        <v>1</v>
      </c>
      <c r="F23" t="s">
        <v>1</v>
      </c>
      <c r="G23">
        <v>3</v>
      </c>
      <c r="H23" s="1">
        <v>1756.3905837575001</v>
      </c>
      <c r="I23" s="1">
        <v>191434.0762295124</v>
      </c>
    </row>
    <row r="24" spans="2:12" x14ac:dyDescent="0.35">
      <c r="B24" t="s">
        <v>42</v>
      </c>
      <c r="D24" t="s">
        <v>0</v>
      </c>
      <c r="E24" t="s">
        <v>1</v>
      </c>
      <c r="F24" t="s">
        <v>2</v>
      </c>
      <c r="G24">
        <v>0</v>
      </c>
      <c r="H24" s="1">
        <v>0</v>
      </c>
      <c r="I24" s="1">
        <v>1</v>
      </c>
      <c r="K24" t="s">
        <v>198</v>
      </c>
      <c r="L24" s="4" cm="1">
        <f t="array" ref="L24">SUMPRODUCT((MyTestTable[Field1]=L20)*(MyTestTable[Field2]=L21)*(MyTestTable[Field3]=L22)*MyTestTable[val])</f>
        <v>100784048.60546321</v>
      </c>
    </row>
    <row r="25" spans="2:12" x14ac:dyDescent="0.35">
      <c r="B25" t="s">
        <v>43</v>
      </c>
      <c r="D25" t="s">
        <v>0</v>
      </c>
      <c r="E25" t="s">
        <v>1</v>
      </c>
      <c r="F25" t="s">
        <v>2</v>
      </c>
      <c r="G25">
        <v>1</v>
      </c>
      <c r="H25" s="1">
        <v>278.06175596617612</v>
      </c>
      <c r="I25" s="1">
        <v>994545.03053114563</v>
      </c>
      <c r="K25" t="s">
        <v>9</v>
      </c>
      <c r="L25" s="4" cm="1">
        <f t="array" ref="L25">MYLOOKUP1(L20,L21,L22)</f>
        <v>100784048.60546321</v>
      </c>
    </row>
    <row r="26" spans="2:12" x14ac:dyDescent="0.35">
      <c r="B26" t="s">
        <v>44</v>
      </c>
      <c r="D26" t="s">
        <v>0</v>
      </c>
      <c r="E26" t="s">
        <v>1</v>
      </c>
      <c r="F26" t="s">
        <v>2</v>
      </c>
      <c r="G26">
        <v>2</v>
      </c>
      <c r="H26" s="1">
        <v>587.95282824522997</v>
      </c>
      <c r="I26" s="1">
        <v>1127401.9652630771</v>
      </c>
      <c r="L26" s="4"/>
    </row>
    <row r="27" spans="2:12" x14ac:dyDescent="0.35">
      <c r="B27" t="s">
        <v>45</v>
      </c>
      <c r="D27" t="s">
        <v>0</v>
      </c>
      <c r="E27" t="s">
        <v>1</v>
      </c>
      <c r="F27" t="s">
        <v>2</v>
      </c>
      <c r="G27">
        <v>3</v>
      </c>
      <c r="H27" s="1">
        <v>1862.6122899355958</v>
      </c>
      <c r="I27" s="1">
        <v>1377671.0267613917</v>
      </c>
      <c r="L27" s="4"/>
    </row>
    <row r="28" spans="2:12" x14ac:dyDescent="0.35">
      <c r="B28" t="s">
        <v>46</v>
      </c>
      <c r="D28" t="s">
        <v>0</v>
      </c>
      <c r="E28" t="s">
        <v>2</v>
      </c>
      <c r="F28" t="s">
        <v>0</v>
      </c>
      <c r="G28">
        <v>0</v>
      </c>
      <c r="H28" s="1">
        <v>0</v>
      </c>
      <c r="I28" s="1">
        <v>1</v>
      </c>
    </row>
    <row r="29" spans="2:12" x14ac:dyDescent="0.35">
      <c r="B29" t="s">
        <v>47</v>
      </c>
      <c r="D29" t="s">
        <v>0</v>
      </c>
      <c r="E29" t="s">
        <v>2</v>
      </c>
      <c r="F29" t="s">
        <v>0</v>
      </c>
      <c r="G29">
        <v>1</v>
      </c>
      <c r="H29" s="1">
        <v>112.88403832055414</v>
      </c>
      <c r="I29" s="1">
        <v>2753.2131779106417</v>
      </c>
      <c r="K29" s="5">
        <v>3</v>
      </c>
    </row>
    <row r="30" spans="2:12" x14ac:dyDescent="0.35">
      <c r="B30" t="s">
        <v>48</v>
      </c>
      <c r="D30" t="s">
        <v>0</v>
      </c>
      <c r="E30" t="s">
        <v>2</v>
      </c>
      <c r="F30" t="s">
        <v>0</v>
      </c>
      <c r="G30">
        <v>2</v>
      </c>
      <c r="H30" s="1">
        <v>349.37047016031266</v>
      </c>
      <c r="I30" s="1">
        <v>3101.589411034814</v>
      </c>
      <c r="K30" t="s">
        <v>162</v>
      </c>
    </row>
    <row r="31" spans="2:12" x14ac:dyDescent="0.35">
      <c r="B31" t="s">
        <v>49</v>
      </c>
      <c r="D31" t="s">
        <v>0</v>
      </c>
      <c r="E31" t="s">
        <v>2</v>
      </c>
      <c r="F31" t="s">
        <v>0</v>
      </c>
      <c r="G31">
        <v>3</v>
      </c>
      <c r="H31" s="1">
        <v>2378.2040176678197</v>
      </c>
      <c r="I31" s="1">
        <v>4539.3154429614697</v>
      </c>
    </row>
    <row r="32" spans="2:12" x14ac:dyDescent="0.35">
      <c r="B32" t="s">
        <v>50</v>
      </c>
      <c r="D32" t="s">
        <v>0</v>
      </c>
      <c r="E32" t="s">
        <v>2</v>
      </c>
      <c r="F32" t="s">
        <v>1</v>
      </c>
      <c r="G32">
        <v>0</v>
      </c>
      <c r="H32" s="1">
        <v>0</v>
      </c>
      <c r="I32" s="1">
        <v>1</v>
      </c>
    </row>
    <row r="33" spans="2:12" x14ac:dyDescent="0.35">
      <c r="B33" t="s">
        <v>51</v>
      </c>
      <c r="D33" t="s">
        <v>0</v>
      </c>
      <c r="E33" t="s">
        <v>2</v>
      </c>
      <c r="F33" t="s">
        <v>1</v>
      </c>
      <c r="G33">
        <v>1</v>
      </c>
      <c r="H33" s="1">
        <v>129.2490594466469</v>
      </c>
      <c r="I33" s="1">
        <v>492298374.75386935</v>
      </c>
      <c r="K33" t="s">
        <v>14</v>
      </c>
      <c r="L33" s="3" t="s">
        <v>0</v>
      </c>
    </row>
    <row r="34" spans="2:12" x14ac:dyDescent="0.35">
      <c r="B34" t="s">
        <v>52</v>
      </c>
      <c r="D34" t="s">
        <v>0</v>
      </c>
      <c r="E34" t="s">
        <v>2</v>
      </c>
      <c r="F34" t="s">
        <v>1</v>
      </c>
      <c r="G34">
        <v>2</v>
      </c>
      <c r="H34" s="1">
        <v>197.10315070279705</v>
      </c>
      <c r="I34" s="1">
        <v>497782341.92626888</v>
      </c>
      <c r="K34" t="s">
        <v>15</v>
      </c>
      <c r="L34" s="3" t="s">
        <v>1</v>
      </c>
    </row>
    <row r="35" spans="2:12" x14ac:dyDescent="0.35">
      <c r="B35" t="s">
        <v>53</v>
      </c>
      <c r="D35" t="s">
        <v>0</v>
      </c>
      <c r="E35" t="s">
        <v>2</v>
      </c>
      <c r="F35" t="s">
        <v>1</v>
      </c>
      <c r="G35">
        <v>3</v>
      </c>
      <c r="H35" s="1">
        <v>284.1446936821232</v>
      </c>
      <c r="I35" s="1">
        <v>697695792.001284</v>
      </c>
      <c r="K35" t="s">
        <v>16</v>
      </c>
      <c r="L35" s="3" t="s">
        <v>2</v>
      </c>
    </row>
    <row r="36" spans="2:12" x14ac:dyDescent="0.35">
      <c r="B36" t="s">
        <v>54</v>
      </c>
      <c r="D36" t="s">
        <v>0</v>
      </c>
      <c r="E36" t="s">
        <v>2</v>
      </c>
      <c r="F36" t="s">
        <v>2</v>
      </c>
      <c r="G36">
        <v>0</v>
      </c>
      <c r="H36" s="1">
        <v>0</v>
      </c>
      <c r="I36" s="1">
        <v>1</v>
      </c>
      <c r="K36" t="s">
        <v>17</v>
      </c>
      <c r="L36" s="3">
        <v>2</v>
      </c>
    </row>
    <row r="37" spans="2:12" x14ac:dyDescent="0.35">
      <c r="B37" t="s">
        <v>55</v>
      </c>
      <c r="D37" t="s">
        <v>0</v>
      </c>
      <c r="E37" t="s">
        <v>2</v>
      </c>
      <c r="F37" t="s">
        <v>2</v>
      </c>
      <c r="G37">
        <v>1</v>
      </c>
      <c r="H37" s="1">
        <v>1944.3980527740302</v>
      </c>
      <c r="I37" s="1">
        <v>31169.364696789249</v>
      </c>
    </row>
    <row r="38" spans="2:12" x14ac:dyDescent="0.35">
      <c r="B38" t="s">
        <v>56</v>
      </c>
      <c r="D38" t="s">
        <v>0</v>
      </c>
      <c r="E38" t="s">
        <v>2</v>
      </c>
      <c r="F38" t="s">
        <v>2</v>
      </c>
      <c r="G38">
        <v>2</v>
      </c>
      <c r="H38" s="1">
        <v>5979.9346993100335</v>
      </c>
      <c r="I38" s="1">
        <v>39786.88693888743</v>
      </c>
      <c r="K38" t="s">
        <v>18</v>
      </c>
    </row>
    <row r="39" spans="2:12" x14ac:dyDescent="0.35">
      <c r="B39" t="s">
        <v>57</v>
      </c>
      <c r="D39" t="s">
        <v>0</v>
      </c>
      <c r="E39" t="s">
        <v>2</v>
      </c>
      <c r="F39" t="s">
        <v>2</v>
      </c>
      <c r="G39">
        <v>3</v>
      </c>
      <c r="H39" s="1">
        <v>9976.4162195488516</v>
      </c>
      <c r="I39" s="1">
        <v>42802.149821908024</v>
      </c>
      <c r="K39" t="s">
        <v>20</v>
      </c>
      <c r="L39" s="4" cm="1">
        <f t="array" ref="L39">INDEX(MyTestTable[lookup],MATCH(1,(MyTestTable[Field1]=L33)*(MyTestTable[Field2]=L34)*(MyTestTable[Field3]=L35)*(MyTestTable[order]=L36),0))</f>
        <v>587.95282824522997</v>
      </c>
    </row>
    <row r="40" spans="2:12" x14ac:dyDescent="0.35">
      <c r="B40" t="s">
        <v>58</v>
      </c>
      <c r="D40" t="s">
        <v>1</v>
      </c>
      <c r="E40" t="s">
        <v>0</v>
      </c>
      <c r="F40" t="s">
        <v>0</v>
      </c>
      <c r="G40">
        <v>1</v>
      </c>
      <c r="H40" s="1">
        <v>50483.727912004491</v>
      </c>
      <c r="I40" s="1">
        <v>14.645643749229539</v>
      </c>
      <c r="K40" t="s">
        <v>9</v>
      </c>
      <c r="L40" s="4" cm="1">
        <f t="array" ref="L40">mylookup4(L33,L34,L35,L36)</f>
        <v>587.95282824522997</v>
      </c>
    </row>
    <row r="41" spans="2:12" x14ac:dyDescent="0.35">
      <c r="B41" t="s">
        <v>59</v>
      </c>
      <c r="D41" t="s">
        <v>1</v>
      </c>
      <c r="E41" t="s">
        <v>0</v>
      </c>
      <c r="F41" t="s">
        <v>0</v>
      </c>
      <c r="G41">
        <v>2</v>
      </c>
      <c r="H41" s="1">
        <v>70854.229385690473</v>
      </c>
      <c r="I41" s="1">
        <v>15.576829448940069</v>
      </c>
    </row>
    <row r="42" spans="2:12" x14ac:dyDescent="0.35">
      <c r="B42" t="s">
        <v>60</v>
      </c>
      <c r="D42" t="s">
        <v>1</v>
      </c>
      <c r="E42" t="s">
        <v>0</v>
      </c>
      <c r="F42" t="s">
        <v>0</v>
      </c>
      <c r="G42">
        <v>3</v>
      </c>
      <c r="H42" s="1">
        <v>73692.139723088141</v>
      </c>
      <c r="I42" s="1">
        <v>16.193903967407252</v>
      </c>
    </row>
    <row r="43" spans="2:12" x14ac:dyDescent="0.35">
      <c r="B43" t="s">
        <v>61</v>
      </c>
      <c r="D43" t="s">
        <v>1</v>
      </c>
      <c r="E43" t="s">
        <v>0</v>
      </c>
      <c r="F43" t="s">
        <v>1</v>
      </c>
      <c r="G43">
        <v>0</v>
      </c>
      <c r="H43" s="1">
        <v>0</v>
      </c>
      <c r="I43" s="1">
        <v>1</v>
      </c>
      <c r="K43" s="5">
        <v>4</v>
      </c>
    </row>
    <row r="44" spans="2:12" x14ac:dyDescent="0.35">
      <c r="B44" t="s">
        <v>62</v>
      </c>
      <c r="D44" t="s">
        <v>1</v>
      </c>
      <c r="E44" t="s">
        <v>0</v>
      </c>
      <c r="F44" t="s">
        <v>1</v>
      </c>
      <c r="G44">
        <v>1</v>
      </c>
      <c r="H44" s="1">
        <v>2.4807518739444765</v>
      </c>
      <c r="I44" s="1">
        <v>3238.7463303242307</v>
      </c>
      <c r="K44" t="s">
        <v>170</v>
      </c>
    </row>
    <row r="45" spans="2:12" x14ac:dyDescent="0.35">
      <c r="B45" t="s">
        <v>63</v>
      </c>
      <c r="D45" t="s">
        <v>1</v>
      </c>
      <c r="E45" t="s">
        <v>0</v>
      </c>
      <c r="F45" t="s">
        <v>1</v>
      </c>
      <c r="G45">
        <v>2</v>
      </c>
      <c r="H45" s="1">
        <v>3.5399956870465266</v>
      </c>
      <c r="I45" s="1">
        <v>4959.4936497493691</v>
      </c>
      <c r="K45" t="s">
        <v>199</v>
      </c>
    </row>
    <row r="46" spans="2:12" x14ac:dyDescent="0.35">
      <c r="B46" t="s">
        <v>64</v>
      </c>
      <c r="D46" t="s">
        <v>1</v>
      </c>
      <c r="E46" t="s">
        <v>0</v>
      </c>
      <c r="F46" t="s">
        <v>1</v>
      </c>
      <c r="G46">
        <v>3</v>
      </c>
      <c r="H46" s="1">
        <v>5.3186917042826574</v>
      </c>
      <c r="I46" s="1">
        <v>12219.767854770258</v>
      </c>
    </row>
    <row r="47" spans="2:12" x14ac:dyDescent="0.35">
      <c r="B47" t="s">
        <v>65</v>
      </c>
      <c r="D47" t="s">
        <v>1</v>
      </c>
      <c r="E47" t="s">
        <v>0</v>
      </c>
      <c r="F47" t="s">
        <v>2</v>
      </c>
      <c r="G47">
        <v>0</v>
      </c>
      <c r="H47" s="1">
        <v>0</v>
      </c>
      <c r="I47" s="1">
        <v>1</v>
      </c>
      <c r="K47" t="s">
        <v>19</v>
      </c>
      <c r="L47" s="2" t="str">
        <f>L33&amp;L34&amp;L35&amp;L36</f>
        <v>abc2</v>
      </c>
    </row>
    <row r="48" spans="2:12" x14ac:dyDescent="0.35">
      <c r="B48" t="s">
        <v>66</v>
      </c>
      <c r="D48" t="s">
        <v>1</v>
      </c>
      <c r="E48" t="s">
        <v>0</v>
      </c>
      <c r="F48" t="s">
        <v>2</v>
      </c>
      <c r="G48">
        <v>1</v>
      </c>
      <c r="H48" s="1">
        <v>5.2610046638076966</v>
      </c>
      <c r="I48" s="1">
        <v>203650.33207131701</v>
      </c>
      <c r="K48" t="s">
        <v>21</v>
      </c>
      <c r="L48" s="4">
        <f>LOOKUP(L47,B4:B110,MyTestTable[lookup])</f>
        <v>587.95282824522997</v>
      </c>
    </row>
    <row r="49" spans="2:12" x14ac:dyDescent="0.35">
      <c r="B49" t="s">
        <v>67</v>
      </c>
      <c r="D49" t="s">
        <v>1</v>
      </c>
      <c r="E49" t="s">
        <v>0</v>
      </c>
      <c r="F49" t="s">
        <v>2</v>
      </c>
      <c r="G49">
        <v>2</v>
      </c>
      <c r="H49" s="1">
        <v>8.5030935565335444</v>
      </c>
      <c r="I49" s="1">
        <v>256067.63076211899</v>
      </c>
      <c r="K49" t="s">
        <v>9</v>
      </c>
      <c r="L49" s="4" cm="1">
        <f t="array" ref="L49">mylookup5(L47)</f>
        <v>587.95282824522997</v>
      </c>
    </row>
    <row r="50" spans="2:12" x14ac:dyDescent="0.35">
      <c r="B50" t="s">
        <v>68</v>
      </c>
      <c r="D50" t="s">
        <v>1</v>
      </c>
      <c r="E50" t="s">
        <v>0</v>
      </c>
      <c r="F50" t="s">
        <v>2</v>
      </c>
      <c r="G50">
        <v>3</v>
      </c>
      <c r="H50" s="1">
        <v>14.203542751488309</v>
      </c>
      <c r="I50" s="1">
        <v>292241.80813188077</v>
      </c>
    </row>
    <row r="51" spans="2:12" x14ac:dyDescent="0.35">
      <c r="B51" t="s">
        <v>69</v>
      </c>
      <c r="D51" t="s">
        <v>1</v>
      </c>
      <c r="E51" t="s">
        <v>1</v>
      </c>
      <c r="F51" t="s">
        <v>0</v>
      </c>
      <c r="G51">
        <v>0</v>
      </c>
      <c r="H51" s="1">
        <v>0</v>
      </c>
      <c r="I51" s="1">
        <v>1</v>
      </c>
      <c r="K51" s="5" t="s">
        <v>177</v>
      </c>
    </row>
    <row r="52" spans="2:12" x14ac:dyDescent="0.35">
      <c r="B52" t="s">
        <v>70</v>
      </c>
      <c r="D52" t="s">
        <v>1</v>
      </c>
      <c r="E52" t="s">
        <v>1</v>
      </c>
      <c r="F52" t="s">
        <v>0</v>
      </c>
      <c r="G52">
        <v>1</v>
      </c>
      <c r="H52" s="1">
        <v>371.39932612569993</v>
      </c>
      <c r="I52" s="1">
        <v>46.48373439255387</v>
      </c>
      <c r="K52" t="s">
        <v>171</v>
      </c>
    </row>
    <row r="53" spans="2:12" x14ac:dyDescent="0.35">
      <c r="B53" t="s">
        <v>71</v>
      </c>
      <c r="D53" t="s">
        <v>1</v>
      </c>
      <c r="E53" t="s">
        <v>1</v>
      </c>
      <c r="F53" t="s">
        <v>0</v>
      </c>
      <c r="G53">
        <v>2</v>
      </c>
      <c r="H53" s="1">
        <v>525.19371925760788</v>
      </c>
      <c r="I53" s="1">
        <v>56.893980910799328</v>
      </c>
      <c r="K53" t="s">
        <v>172</v>
      </c>
    </row>
    <row r="54" spans="2:12" x14ac:dyDescent="0.35">
      <c r="B54" t="s">
        <v>72</v>
      </c>
      <c r="D54" t="s">
        <v>1</v>
      </c>
      <c r="E54" t="s">
        <v>1</v>
      </c>
      <c r="F54" t="s">
        <v>0</v>
      </c>
      <c r="G54">
        <v>3</v>
      </c>
      <c r="H54" s="1">
        <v>621.9294586135677</v>
      </c>
      <c r="I54" s="1">
        <v>71.268761877017184</v>
      </c>
    </row>
    <row r="55" spans="2:12" x14ac:dyDescent="0.35">
      <c r="B55" t="s">
        <v>73</v>
      </c>
      <c r="D55" t="s">
        <v>1</v>
      </c>
      <c r="E55" t="s">
        <v>1</v>
      </c>
      <c r="F55" t="s">
        <v>1</v>
      </c>
      <c r="G55">
        <v>0</v>
      </c>
      <c r="H55" s="1">
        <v>0</v>
      </c>
      <c r="I55" s="1">
        <v>1</v>
      </c>
      <c r="K55" t="s">
        <v>8</v>
      </c>
      <c r="L55" s="3" t="s">
        <v>1</v>
      </c>
    </row>
    <row r="56" spans="2:12" x14ac:dyDescent="0.35">
      <c r="B56" t="s">
        <v>74</v>
      </c>
      <c r="D56" t="s">
        <v>1</v>
      </c>
      <c r="E56" t="s">
        <v>1</v>
      </c>
      <c r="F56" t="s">
        <v>1</v>
      </c>
      <c r="G56">
        <v>1</v>
      </c>
      <c r="H56" s="1">
        <v>519.88799083871697</v>
      </c>
      <c r="I56" s="1">
        <v>320124.77738085127</v>
      </c>
      <c r="K56" t="s">
        <v>7</v>
      </c>
      <c r="L56" s="3" t="s">
        <v>1</v>
      </c>
    </row>
    <row r="57" spans="2:12" x14ac:dyDescent="0.35">
      <c r="B57" t="s">
        <v>75</v>
      </c>
      <c r="D57" t="s">
        <v>1</v>
      </c>
      <c r="E57" t="s">
        <v>1</v>
      </c>
      <c r="F57" t="s">
        <v>1</v>
      </c>
      <c r="G57">
        <v>2</v>
      </c>
      <c r="H57" s="1">
        <v>526.52405245594662</v>
      </c>
      <c r="I57" s="1">
        <v>355372.59344571125</v>
      </c>
      <c r="K57" t="s">
        <v>6</v>
      </c>
      <c r="L57" s="3" t="s">
        <v>2</v>
      </c>
    </row>
    <row r="58" spans="2:12" x14ac:dyDescent="0.35">
      <c r="B58" t="s">
        <v>76</v>
      </c>
      <c r="D58" t="s">
        <v>1</v>
      </c>
      <c r="E58" t="s">
        <v>1</v>
      </c>
      <c r="F58" t="s">
        <v>1</v>
      </c>
      <c r="G58">
        <v>3</v>
      </c>
      <c r="H58" s="1">
        <v>618.11766001930232</v>
      </c>
      <c r="I58" s="1">
        <v>506386.85926206462</v>
      </c>
      <c r="K58" t="s">
        <v>190</v>
      </c>
      <c r="L58" s="3">
        <v>2951</v>
      </c>
    </row>
    <row r="59" spans="2:12" x14ac:dyDescent="0.35">
      <c r="B59" t="s">
        <v>77</v>
      </c>
      <c r="D59" t="s">
        <v>1</v>
      </c>
      <c r="E59" t="s">
        <v>1</v>
      </c>
      <c r="F59" t="s">
        <v>2</v>
      </c>
      <c r="G59">
        <v>0</v>
      </c>
      <c r="H59" s="1">
        <v>0</v>
      </c>
      <c r="I59" s="1">
        <v>1</v>
      </c>
      <c r="K59" s="5"/>
    </row>
    <row r="60" spans="2:12" x14ac:dyDescent="0.35">
      <c r="B60" t="s">
        <v>78</v>
      </c>
      <c r="D60" t="s">
        <v>1</v>
      </c>
      <c r="E60" t="s">
        <v>1</v>
      </c>
      <c r="F60" t="s">
        <v>2</v>
      </c>
      <c r="G60">
        <v>1</v>
      </c>
      <c r="H60" s="1">
        <v>1736.7797038684457</v>
      </c>
      <c r="I60" s="1">
        <v>12.87471229305198</v>
      </c>
      <c r="K60" t="s">
        <v>10</v>
      </c>
      <c r="L60" cm="1">
        <f t="array" ref="L60">SUMPRODUCT(MAX((MyTestTable[Field1]=L55)*(MyTestTable[Field2]=L56)*(MyTestTable[Field3]=L57)*(MyTestTable[lookup]&lt;=L58)*(MyTestTable[lookup])))</f>
        <v>2347.9951809806389</v>
      </c>
    </row>
    <row r="61" spans="2:12" x14ac:dyDescent="0.35">
      <c r="B61" t="s">
        <v>79</v>
      </c>
      <c r="D61" t="s">
        <v>1</v>
      </c>
      <c r="E61" t="s">
        <v>1</v>
      </c>
      <c r="F61" t="s">
        <v>2</v>
      </c>
      <c r="G61">
        <v>2</v>
      </c>
      <c r="H61" s="1">
        <v>2347.9951809806389</v>
      </c>
      <c r="I61" s="1">
        <v>18.315298363592774</v>
      </c>
      <c r="K61" t="s">
        <v>9</v>
      </c>
      <c r="L61" cm="1">
        <f t="array" ref="L61">MYLOOKUP2(L55,L56,L57,L58)</f>
        <v>2347.9951809806398</v>
      </c>
    </row>
    <row r="62" spans="2:12" x14ac:dyDescent="0.35">
      <c r="B62" t="s">
        <v>80</v>
      </c>
      <c r="D62" t="s">
        <v>1</v>
      </c>
      <c r="E62" t="s">
        <v>1</v>
      </c>
      <c r="F62" t="s">
        <v>2</v>
      </c>
      <c r="G62">
        <v>3</v>
      </c>
      <c r="H62" s="1">
        <v>2951.0177698249026</v>
      </c>
      <c r="I62" s="1">
        <v>30.565287266593028</v>
      </c>
    </row>
    <row r="63" spans="2:12" x14ac:dyDescent="0.35">
      <c r="B63" t="s">
        <v>81</v>
      </c>
      <c r="D63" t="s">
        <v>1</v>
      </c>
      <c r="E63" t="s">
        <v>2</v>
      </c>
      <c r="F63" t="s">
        <v>0</v>
      </c>
      <c r="G63">
        <v>0</v>
      </c>
      <c r="H63" s="1">
        <v>0</v>
      </c>
      <c r="I63" s="1">
        <v>1</v>
      </c>
      <c r="K63" s="5" t="s">
        <v>178</v>
      </c>
    </row>
    <row r="64" spans="2:12" x14ac:dyDescent="0.35">
      <c r="B64" t="s">
        <v>82</v>
      </c>
      <c r="D64" t="s">
        <v>1</v>
      </c>
      <c r="E64" t="s">
        <v>2</v>
      </c>
      <c r="F64" t="s">
        <v>0</v>
      </c>
      <c r="G64">
        <v>1</v>
      </c>
      <c r="H64" s="1">
        <v>534.61053936190672</v>
      </c>
      <c r="I64" s="1">
        <v>818574.40221290139</v>
      </c>
      <c r="K64" t="s">
        <v>171</v>
      </c>
    </row>
    <row r="65" spans="2:12" x14ac:dyDescent="0.35">
      <c r="B65" t="s">
        <v>83</v>
      </c>
      <c r="D65" t="s">
        <v>1</v>
      </c>
      <c r="E65" t="s">
        <v>2</v>
      </c>
      <c r="F65" t="s">
        <v>0</v>
      </c>
      <c r="G65">
        <v>2</v>
      </c>
      <c r="H65" s="1">
        <v>535.83743552267015</v>
      </c>
      <c r="I65" s="1">
        <v>473429.77754060243</v>
      </c>
      <c r="K65" t="s">
        <v>173</v>
      </c>
    </row>
    <row r="66" spans="2:12" x14ac:dyDescent="0.35">
      <c r="B66" t="s">
        <v>84</v>
      </c>
      <c r="D66" t="s">
        <v>1</v>
      </c>
      <c r="E66" t="s">
        <v>2</v>
      </c>
      <c r="F66" t="s">
        <v>0</v>
      </c>
      <c r="G66">
        <v>3</v>
      </c>
      <c r="H66" s="1">
        <v>740.44056101033595</v>
      </c>
      <c r="I66" s="1">
        <v>671275.63408292818</v>
      </c>
    </row>
    <row r="67" spans="2:12" x14ac:dyDescent="0.35">
      <c r="B67" t="s">
        <v>85</v>
      </c>
      <c r="D67" t="s">
        <v>1</v>
      </c>
      <c r="E67" t="s">
        <v>2</v>
      </c>
      <c r="F67" t="s">
        <v>1</v>
      </c>
      <c r="G67">
        <v>0</v>
      </c>
      <c r="H67" s="1">
        <v>0</v>
      </c>
      <c r="I67" s="1">
        <v>1</v>
      </c>
      <c r="K67" t="s">
        <v>129</v>
      </c>
      <c r="L67" cm="1">
        <f t="array" ref="L67">SUMPRODUCT((MyTestTable[Field1]=L55)*(MyTestTable[Field2]=L56)*(MyTestTable[Field3]=L57)*(MyTestTable[lookup]=SUMPRODUCT(MAX((MyTestTable[Field1]=L55)*(MyTestTable[Field2]=L56)*(MyTestTable[Field3]=L57)*(MyTestTable[lookup]&lt;=L58)*(MyTestTable[lookup]))))*(MyTestTable[val]))</f>
        <v>18.315298363592774</v>
      </c>
    </row>
    <row r="68" spans="2:12" x14ac:dyDescent="0.35">
      <c r="B68" t="s">
        <v>86</v>
      </c>
      <c r="D68" t="s">
        <v>1</v>
      </c>
      <c r="E68" t="s">
        <v>2</v>
      </c>
      <c r="F68" t="s">
        <v>1</v>
      </c>
      <c r="G68">
        <v>1</v>
      </c>
      <c r="H68" s="1">
        <v>873.90333670947098</v>
      </c>
      <c r="I68" s="1">
        <v>5.5308464608446828</v>
      </c>
      <c r="K68" t="s">
        <v>9</v>
      </c>
      <c r="L68" cm="1">
        <f t="array" ref="L68">mylookup3(L55,L56,L57,L58)</f>
        <v>18.315298363592799</v>
      </c>
    </row>
    <row r="69" spans="2:12" x14ac:dyDescent="0.35">
      <c r="B69" t="s">
        <v>87</v>
      </c>
      <c r="D69" t="s">
        <v>1</v>
      </c>
      <c r="E69" t="s">
        <v>2</v>
      </c>
      <c r="F69" t="s">
        <v>1</v>
      </c>
      <c r="G69">
        <v>2</v>
      </c>
      <c r="H69" s="1">
        <v>1640.7421997836814</v>
      </c>
      <c r="I69" s="1">
        <v>3.7891915013635131</v>
      </c>
    </row>
    <row r="70" spans="2:12" x14ac:dyDescent="0.35">
      <c r="B70" t="s">
        <v>88</v>
      </c>
      <c r="D70" t="s">
        <v>1</v>
      </c>
      <c r="E70" t="s">
        <v>2</v>
      </c>
      <c r="F70" t="s">
        <v>1</v>
      </c>
      <c r="G70">
        <v>3</v>
      </c>
      <c r="H70" s="1">
        <v>2167.1256906430149</v>
      </c>
      <c r="I70" s="1">
        <v>5.2369261422376665</v>
      </c>
    </row>
    <row r="71" spans="2:12" x14ac:dyDescent="0.35">
      <c r="B71" t="s">
        <v>89</v>
      </c>
      <c r="D71" t="s">
        <v>1</v>
      </c>
      <c r="E71" t="s">
        <v>2</v>
      </c>
      <c r="F71" t="s">
        <v>2</v>
      </c>
      <c r="G71">
        <v>0</v>
      </c>
      <c r="H71" s="1">
        <v>0</v>
      </c>
      <c r="I71" s="1">
        <v>1</v>
      </c>
      <c r="K71" s="5" t="s">
        <v>179</v>
      </c>
    </row>
    <row r="72" spans="2:12" x14ac:dyDescent="0.35">
      <c r="B72" t="s">
        <v>90</v>
      </c>
      <c r="D72" t="s">
        <v>1</v>
      </c>
      <c r="E72" t="s">
        <v>2</v>
      </c>
      <c r="F72" t="s">
        <v>2</v>
      </c>
      <c r="G72">
        <v>1</v>
      </c>
      <c r="H72" s="1">
        <v>4.5893843322318366</v>
      </c>
      <c r="I72" s="1">
        <v>271.32608217273702</v>
      </c>
      <c r="K72" t="s">
        <v>200</v>
      </c>
    </row>
    <row r="73" spans="2:12" x14ac:dyDescent="0.35">
      <c r="B73" t="s">
        <v>91</v>
      </c>
      <c r="D73" t="s">
        <v>1</v>
      </c>
      <c r="E73" t="s">
        <v>2</v>
      </c>
      <c r="F73" t="s">
        <v>2</v>
      </c>
      <c r="G73">
        <v>2</v>
      </c>
      <c r="H73" s="1">
        <v>6.917525477163986</v>
      </c>
      <c r="I73" s="1">
        <v>378.73130130993701</v>
      </c>
    </row>
    <row r="74" spans="2:12" x14ac:dyDescent="0.35">
      <c r="B74" t="s">
        <v>92</v>
      </c>
      <c r="D74" t="s">
        <v>1</v>
      </c>
      <c r="E74" t="s">
        <v>2</v>
      </c>
      <c r="F74" t="s">
        <v>2</v>
      </c>
      <c r="G74">
        <v>3</v>
      </c>
      <c r="H74" s="1">
        <v>8.2619091128049185</v>
      </c>
      <c r="I74" s="1">
        <v>418.03649604351335</v>
      </c>
      <c r="K74" t="s">
        <v>131</v>
      </c>
      <c r="L74" cm="1">
        <f t="array" ref="L74">SUMPRODUCT(MAX((MyTestTable[Field1]=L55)*(MyTestTable[Field2]=L56)*(MyTestTable[Field3]=L57)*(MyTestTable[lookup]&lt;=L58)*(MyTestTable[lookup])))</f>
        <v>2347.9951809806389</v>
      </c>
    </row>
    <row r="75" spans="2:12" x14ac:dyDescent="0.35">
      <c r="B75" t="s">
        <v>93</v>
      </c>
      <c r="D75" t="s">
        <v>2</v>
      </c>
      <c r="E75" t="s">
        <v>0</v>
      </c>
      <c r="F75" t="s">
        <v>0</v>
      </c>
      <c r="G75">
        <v>0</v>
      </c>
      <c r="H75" s="1">
        <v>0</v>
      </c>
      <c r="I75" s="1">
        <v>1</v>
      </c>
      <c r="K75" t="s">
        <v>130</v>
      </c>
      <c r="L75" cm="1">
        <f t="array" ref="L75">SUMPRODUCT(MAX((MyTestTable[Field1]=L55)*(MyTestTable[Field2]=L56)*(MyTestTable[Field3]=L57)*(MyTestTable[lookup])))</f>
        <v>2951.0177698249026</v>
      </c>
    </row>
    <row r="76" spans="2:12" x14ac:dyDescent="0.35">
      <c r="B76" t="s">
        <v>94</v>
      </c>
      <c r="D76" t="s">
        <v>2</v>
      </c>
      <c r="E76" t="s">
        <v>0</v>
      </c>
      <c r="F76" t="s">
        <v>0</v>
      </c>
      <c r="G76">
        <v>1</v>
      </c>
      <c r="H76" s="1">
        <v>169.76245902684471</v>
      </c>
      <c r="I76" s="1">
        <v>11026500.943488406</v>
      </c>
      <c r="K76" t="s">
        <v>132</v>
      </c>
      <c r="L76" cm="1">
        <f t="array" aca="1" ref="L76" ca="1">IF(L74=L75,L75,SUMPRODUCT(MAX((MyTestTable[Field1]=L55)*(MyTestTable[Field2]=L56)*(MyTestTable[Field3]=L57)*(MyTestTable[lookup]&lt;=L58)*(OFFSET((MyTestTable[lookup]),1,0)))))</f>
        <v>2951.0177698249026</v>
      </c>
    </row>
    <row r="77" spans="2:12" x14ac:dyDescent="0.35">
      <c r="B77" t="s">
        <v>95</v>
      </c>
      <c r="D77" t="s">
        <v>2</v>
      </c>
      <c r="E77" t="s">
        <v>0</v>
      </c>
      <c r="F77" t="s">
        <v>0</v>
      </c>
      <c r="G77">
        <v>2</v>
      </c>
      <c r="H77" s="1">
        <v>260.35087688671661</v>
      </c>
      <c r="I77" s="1">
        <v>26327365.012117598</v>
      </c>
      <c r="K77" t="s">
        <v>133</v>
      </c>
      <c r="L77" cm="1">
        <f t="array" ref="L77">SUMPRODUCT((MyTestTable[Field1]=L55)*(MyTestTable[Field2]=L56)*(MyTestTable[Field3]=L57)*(MyTestTable[lookup]=L74)*(MyTestTable[val]))</f>
        <v>18.315298363592774</v>
      </c>
    </row>
    <row r="78" spans="2:12" x14ac:dyDescent="0.35">
      <c r="B78" t="s">
        <v>96</v>
      </c>
      <c r="D78" t="s">
        <v>2</v>
      </c>
      <c r="E78" t="s">
        <v>0</v>
      </c>
      <c r="F78" t="s">
        <v>0</v>
      </c>
      <c r="G78">
        <v>3</v>
      </c>
      <c r="H78" s="1">
        <v>329.02527865688</v>
      </c>
      <c r="I78" s="1">
        <v>76072677.45279552</v>
      </c>
      <c r="K78" t="s">
        <v>201</v>
      </c>
      <c r="L78" cm="1">
        <f t="array" aca="1" ref="L78" ca="1">SUMPRODUCT((MyTestTable[Field1]=L55)*(MyTestTable[Field2]=L56)*(MyTestTable[Field3]=L57)*(MyTestTable[lookup]=L76)*(MyTestTable[val]))</f>
        <v>30.565287266593028</v>
      </c>
    </row>
    <row r="79" spans="2:12" x14ac:dyDescent="0.35">
      <c r="B79" t="s">
        <v>97</v>
      </c>
      <c r="D79" t="s">
        <v>2</v>
      </c>
      <c r="E79" t="s">
        <v>0</v>
      </c>
      <c r="F79" t="s">
        <v>1</v>
      </c>
      <c r="G79">
        <v>0</v>
      </c>
      <c r="H79" s="1">
        <v>0</v>
      </c>
      <c r="I79" s="1">
        <v>1</v>
      </c>
    </row>
    <row r="80" spans="2:12" x14ac:dyDescent="0.35">
      <c r="B80" t="s">
        <v>98</v>
      </c>
      <c r="D80" t="s">
        <v>2</v>
      </c>
      <c r="E80" t="s">
        <v>0</v>
      </c>
      <c r="F80" t="s">
        <v>1</v>
      </c>
      <c r="G80">
        <v>1</v>
      </c>
      <c r="H80" s="1">
        <v>45281.487312221827</v>
      </c>
      <c r="I80" s="1">
        <v>22988818.230815407</v>
      </c>
      <c r="K80" t="s">
        <v>134</v>
      </c>
      <c r="L80">
        <f ca="1">IF(L76&gt;L74,((L58-L74)/(L76-L74))*(L78-L77)+L77,L78)</f>
        <v>30.564926284829006</v>
      </c>
    </row>
    <row r="81" spans="2:13" x14ac:dyDescent="0.35">
      <c r="B81" t="s">
        <v>99</v>
      </c>
      <c r="D81" t="s">
        <v>2</v>
      </c>
      <c r="E81" t="s">
        <v>0</v>
      </c>
      <c r="F81" t="s">
        <v>1</v>
      </c>
      <c r="G81">
        <v>2</v>
      </c>
      <c r="H81" s="1">
        <v>64311.555948999267</v>
      </c>
      <c r="I81" s="1">
        <v>36179080.498874679</v>
      </c>
      <c r="K81" t="s">
        <v>9</v>
      </c>
      <c r="L81" cm="1">
        <f t="array" ref="L81">interp(L55,L56,L57,L58)</f>
        <v>30.564926284829035</v>
      </c>
    </row>
    <row r="82" spans="2:13" x14ac:dyDescent="0.35">
      <c r="B82" t="s">
        <v>100</v>
      </c>
      <c r="D82" t="s">
        <v>2</v>
      </c>
      <c r="E82" t="s">
        <v>0</v>
      </c>
      <c r="F82" t="s">
        <v>1</v>
      </c>
      <c r="G82">
        <v>3</v>
      </c>
      <c r="H82" s="1">
        <v>77218.254144733932</v>
      </c>
      <c r="I82" s="1">
        <v>41616148.875773117</v>
      </c>
    </row>
    <row r="83" spans="2:13" x14ac:dyDescent="0.35">
      <c r="B83" t="s">
        <v>101</v>
      </c>
      <c r="D83" t="s">
        <v>2</v>
      </c>
      <c r="E83" t="s">
        <v>0</v>
      </c>
      <c r="F83" t="s">
        <v>2</v>
      </c>
      <c r="G83">
        <v>0</v>
      </c>
      <c r="H83" s="1">
        <v>0</v>
      </c>
      <c r="I83" s="1">
        <v>1</v>
      </c>
    </row>
    <row r="84" spans="2:13" x14ac:dyDescent="0.35">
      <c r="B84" t="s">
        <v>102</v>
      </c>
      <c r="D84" t="s">
        <v>2</v>
      </c>
      <c r="E84" t="s">
        <v>0</v>
      </c>
      <c r="F84" t="s">
        <v>2</v>
      </c>
      <c r="G84">
        <v>1</v>
      </c>
      <c r="H84" s="1">
        <v>357.56914715059258</v>
      </c>
      <c r="I84" s="1">
        <v>3.3623867508680561</v>
      </c>
    </row>
    <row r="85" spans="2:13" x14ac:dyDescent="0.35">
      <c r="B85" t="s">
        <v>103</v>
      </c>
      <c r="D85" t="s">
        <v>2</v>
      </c>
      <c r="E85" t="s">
        <v>0</v>
      </c>
      <c r="F85" t="s">
        <v>2</v>
      </c>
      <c r="G85">
        <v>2</v>
      </c>
      <c r="H85" s="1">
        <v>4290.0529519584898</v>
      </c>
      <c r="I85" s="1">
        <v>5.3319706053934741</v>
      </c>
    </row>
    <row r="86" spans="2:13" x14ac:dyDescent="0.35">
      <c r="B86" t="s">
        <v>104</v>
      </c>
      <c r="D86" t="s">
        <v>2</v>
      </c>
      <c r="E86" t="s">
        <v>0</v>
      </c>
      <c r="F86" t="s">
        <v>2</v>
      </c>
      <c r="G86">
        <v>3</v>
      </c>
      <c r="H86" s="1">
        <v>9240.1940859427687</v>
      </c>
      <c r="I86" s="1">
        <v>6.1781690159130553</v>
      </c>
    </row>
    <row r="87" spans="2:13" x14ac:dyDescent="0.35">
      <c r="B87" t="s">
        <v>105</v>
      </c>
      <c r="D87" t="s">
        <v>2</v>
      </c>
      <c r="E87" t="s">
        <v>1</v>
      </c>
      <c r="F87" t="s">
        <v>0</v>
      </c>
      <c r="G87">
        <v>0</v>
      </c>
      <c r="H87" s="1">
        <v>0</v>
      </c>
      <c r="I87" s="1">
        <v>1</v>
      </c>
    </row>
    <row r="88" spans="2:13" x14ac:dyDescent="0.35">
      <c r="B88" t="s">
        <v>106</v>
      </c>
      <c r="D88" t="s">
        <v>2</v>
      </c>
      <c r="E88" t="s">
        <v>1</v>
      </c>
      <c r="F88" t="s">
        <v>0</v>
      </c>
      <c r="G88">
        <v>1</v>
      </c>
      <c r="H88" s="1">
        <v>4</v>
      </c>
      <c r="I88" s="1">
        <v>57787.59890564072</v>
      </c>
    </row>
    <row r="89" spans="2:13" x14ac:dyDescent="0.35">
      <c r="B89" t="s">
        <v>107</v>
      </c>
      <c r="D89" t="s">
        <v>2</v>
      </c>
      <c r="E89" t="s">
        <v>1</v>
      </c>
      <c r="F89" t="s">
        <v>0</v>
      </c>
      <c r="G89">
        <v>2</v>
      </c>
      <c r="H89" s="1">
        <v>6.2730518734120064</v>
      </c>
      <c r="I89" s="1">
        <v>68318.461285329176</v>
      </c>
    </row>
    <row r="90" spans="2:13" x14ac:dyDescent="0.35">
      <c r="B90" t="s">
        <v>108</v>
      </c>
      <c r="D90" t="s">
        <v>2</v>
      </c>
      <c r="E90" t="s">
        <v>1</v>
      </c>
      <c r="F90" t="s">
        <v>0</v>
      </c>
      <c r="G90">
        <v>3</v>
      </c>
      <c r="H90" s="1">
        <v>8.3739497243440049</v>
      </c>
      <c r="I90" s="1">
        <v>124006.96649103881</v>
      </c>
    </row>
    <row r="91" spans="2:13" x14ac:dyDescent="0.35">
      <c r="B91" t="s">
        <v>109</v>
      </c>
      <c r="D91" t="s">
        <v>2</v>
      </c>
      <c r="E91" t="s">
        <v>1</v>
      </c>
      <c r="F91" t="s">
        <v>1</v>
      </c>
      <c r="G91">
        <v>0</v>
      </c>
      <c r="H91" s="1">
        <v>0</v>
      </c>
      <c r="I91" s="1">
        <v>1</v>
      </c>
    </row>
    <row r="92" spans="2:13" x14ac:dyDescent="0.35">
      <c r="B92" t="s">
        <v>110</v>
      </c>
      <c r="D92" t="s">
        <v>2</v>
      </c>
      <c r="E92" t="s">
        <v>1</v>
      </c>
      <c r="F92" t="s">
        <v>1</v>
      </c>
      <c r="G92">
        <v>1</v>
      </c>
      <c r="H92" s="1">
        <v>4.0790346851490904</v>
      </c>
      <c r="I92" s="1">
        <v>487.45835834889658</v>
      </c>
    </row>
    <row r="93" spans="2:13" x14ac:dyDescent="0.35">
      <c r="B93" t="s">
        <v>111</v>
      </c>
      <c r="D93" t="s">
        <v>2</v>
      </c>
      <c r="E93" t="s">
        <v>1</v>
      </c>
      <c r="F93" t="s">
        <v>1</v>
      </c>
      <c r="G93">
        <v>2</v>
      </c>
      <c r="H93" s="1">
        <v>7.1174884139282417</v>
      </c>
      <c r="I93" s="1">
        <v>324.55491919161261</v>
      </c>
    </row>
    <row r="94" spans="2:13" x14ac:dyDescent="0.35">
      <c r="B94" t="s">
        <v>112</v>
      </c>
      <c r="D94" t="s">
        <v>2</v>
      </c>
      <c r="E94" t="s">
        <v>1</v>
      </c>
      <c r="F94" t="s">
        <v>1</v>
      </c>
      <c r="G94">
        <v>3</v>
      </c>
      <c r="H94" s="1">
        <v>8.1858124681884572</v>
      </c>
      <c r="I94" s="1">
        <v>462.94208062296951</v>
      </c>
    </row>
    <row r="95" spans="2:13" x14ac:dyDescent="0.35">
      <c r="B95" t="s">
        <v>113</v>
      </c>
      <c r="D95" t="s">
        <v>2</v>
      </c>
      <c r="E95" t="s">
        <v>1</v>
      </c>
      <c r="F95" t="s">
        <v>2</v>
      </c>
      <c r="G95">
        <v>0</v>
      </c>
      <c r="H95" s="1">
        <v>0</v>
      </c>
      <c r="I95" s="1">
        <v>1</v>
      </c>
    </row>
    <row r="96" spans="2:13" x14ac:dyDescent="0.35">
      <c r="B96" t="s">
        <v>114</v>
      </c>
      <c r="D96" t="s">
        <v>2</v>
      </c>
      <c r="E96" t="s">
        <v>1</v>
      </c>
      <c r="F96" t="s">
        <v>2</v>
      </c>
      <c r="G96">
        <v>1</v>
      </c>
      <c r="H96" s="1">
        <v>11.919228224531595</v>
      </c>
      <c r="I96" s="1">
        <v>51.552067368712819</v>
      </c>
      <c r="M96" s="7"/>
    </row>
    <row r="97" spans="2:9" x14ac:dyDescent="0.35">
      <c r="B97" t="s">
        <v>115</v>
      </c>
      <c r="D97" t="s">
        <v>2</v>
      </c>
      <c r="E97" t="s">
        <v>1</v>
      </c>
      <c r="F97" t="s">
        <v>2</v>
      </c>
      <c r="G97">
        <v>2</v>
      </c>
      <c r="H97" s="1">
        <v>61.639136806336744</v>
      </c>
      <c r="I97" s="1">
        <v>32.79178065103477</v>
      </c>
    </row>
    <row r="98" spans="2:9" x14ac:dyDescent="0.35">
      <c r="B98" t="s">
        <v>116</v>
      </c>
      <c r="D98" t="s">
        <v>2</v>
      </c>
      <c r="E98" t="s">
        <v>1</v>
      </c>
      <c r="F98" t="s">
        <v>2</v>
      </c>
      <c r="G98">
        <v>3</v>
      </c>
      <c r="H98" s="1">
        <v>106.06842050306169</v>
      </c>
      <c r="I98" s="1">
        <v>44.226401038674453</v>
      </c>
    </row>
    <row r="99" spans="2:9" x14ac:dyDescent="0.35">
      <c r="B99" t="s">
        <v>117</v>
      </c>
      <c r="D99" t="s">
        <v>2</v>
      </c>
      <c r="E99" t="s">
        <v>2</v>
      </c>
      <c r="F99" t="s">
        <v>0</v>
      </c>
      <c r="G99">
        <v>0</v>
      </c>
      <c r="H99" s="1">
        <v>0</v>
      </c>
      <c r="I99" s="1">
        <v>1</v>
      </c>
    </row>
    <row r="100" spans="2:9" x14ac:dyDescent="0.35">
      <c r="B100" t="s">
        <v>118</v>
      </c>
      <c r="D100" t="s">
        <v>2</v>
      </c>
      <c r="E100" t="s">
        <v>2</v>
      </c>
      <c r="F100" t="s">
        <v>0</v>
      </c>
      <c r="G100">
        <v>1</v>
      </c>
      <c r="H100" s="1">
        <v>1.4749847974150934</v>
      </c>
      <c r="I100" s="1">
        <v>52266617.048029259</v>
      </c>
    </row>
    <row r="101" spans="2:9" x14ac:dyDescent="0.35">
      <c r="B101" t="s">
        <v>119</v>
      </c>
      <c r="D101" t="s">
        <v>2</v>
      </c>
      <c r="E101" t="s">
        <v>2</v>
      </c>
      <c r="F101" t="s">
        <v>0</v>
      </c>
      <c r="G101">
        <v>2</v>
      </c>
      <c r="H101" s="1">
        <v>2.7870405957017863</v>
      </c>
      <c r="I101" s="1">
        <v>67229039.851606011</v>
      </c>
    </row>
    <row r="102" spans="2:9" x14ac:dyDescent="0.35">
      <c r="B102" t="s">
        <v>120</v>
      </c>
      <c r="D102" t="s">
        <v>2</v>
      </c>
      <c r="E102" t="s">
        <v>2</v>
      </c>
      <c r="F102" t="s">
        <v>0</v>
      </c>
      <c r="G102">
        <v>3</v>
      </c>
      <c r="H102" s="1">
        <v>4.760842733190545</v>
      </c>
      <c r="I102" s="1">
        <v>84505017.868354648</v>
      </c>
    </row>
    <row r="103" spans="2:9" x14ac:dyDescent="0.35">
      <c r="B103" t="s">
        <v>121</v>
      </c>
      <c r="D103" t="s">
        <v>2</v>
      </c>
      <c r="E103" t="s">
        <v>2</v>
      </c>
      <c r="F103" t="s">
        <v>1</v>
      </c>
      <c r="G103">
        <v>0</v>
      </c>
      <c r="H103" s="1">
        <v>0</v>
      </c>
      <c r="I103" s="1">
        <v>1</v>
      </c>
    </row>
    <row r="104" spans="2:9" x14ac:dyDescent="0.35">
      <c r="B104" t="s">
        <v>122</v>
      </c>
      <c r="D104" t="s">
        <v>2</v>
      </c>
      <c r="E104" t="s">
        <v>2</v>
      </c>
      <c r="F104" t="s">
        <v>1</v>
      </c>
      <c r="G104">
        <v>1</v>
      </c>
      <c r="H104" s="1">
        <v>4.049184828269901</v>
      </c>
      <c r="I104" s="1">
        <v>452073673.79274911</v>
      </c>
    </row>
    <row r="105" spans="2:9" x14ac:dyDescent="0.35">
      <c r="B105" t="s">
        <v>123</v>
      </c>
      <c r="D105" t="s">
        <v>2</v>
      </c>
      <c r="E105" t="s">
        <v>2</v>
      </c>
      <c r="F105" t="s">
        <v>1</v>
      </c>
      <c r="G105">
        <v>2</v>
      </c>
      <c r="H105" s="1">
        <v>6.0945909160417031</v>
      </c>
      <c r="I105" s="1">
        <v>470325176.57976329</v>
      </c>
    </row>
    <row r="106" spans="2:9" x14ac:dyDescent="0.35">
      <c r="B106" t="s">
        <v>124</v>
      </c>
      <c r="D106" t="s">
        <v>2</v>
      </c>
      <c r="E106" t="s">
        <v>2</v>
      </c>
      <c r="F106" t="s">
        <v>1</v>
      </c>
      <c r="G106">
        <v>3</v>
      </c>
      <c r="H106" s="1">
        <v>9</v>
      </c>
      <c r="I106" s="1">
        <v>508133821.4006716</v>
      </c>
    </row>
    <row r="107" spans="2:9" x14ac:dyDescent="0.35">
      <c r="B107" t="s">
        <v>125</v>
      </c>
      <c r="D107" t="s">
        <v>2</v>
      </c>
      <c r="E107" t="s">
        <v>2</v>
      </c>
      <c r="F107" t="s">
        <v>2</v>
      </c>
      <c r="G107">
        <v>0</v>
      </c>
      <c r="H107" s="1">
        <v>0</v>
      </c>
      <c r="I107" s="1">
        <v>1</v>
      </c>
    </row>
    <row r="108" spans="2:9" x14ac:dyDescent="0.35">
      <c r="B108" t="s">
        <v>126</v>
      </c>
      <c r="D108" t="s">
        <v>2</v>
      </c>
      <c r="E108" t="s">
        <v>2</v>
      </c>
      <c r="F108" t="s">
        <v>2</v>
      </c>
      <c r="G108">
        <v>1</v>
      </c>
      <c r="H108" s="1">
        <v>1757.0229844103737</v>
      </c>
      <c r="I108" s="1">
        <v>291.25214247518284</v>
      </c>
    </row>
    <row r="109" spans="2:9" x14ac:dyDescent="0.35">
      <c r="B109" t="s">
        <v>127</v>
      </c>
      <c r="D109" t="s">
        <v>2</v>
      </c>
      <c r="E109" t="s">
        <v>2</v>
      </c>
      <c r="F109" t="s">
        <v>2</v>
      </c>
      <c r="G109">
        <v>2</v>
      </c>
      <c r="H109" s="1">
        <v>2466.7467772957793</v>
      </c>
      <c r="I109" s="1">
        <v>339.64087400512534</v>
      </c>
    </row>
    <row r="110" spans="2:9" x14ac:dyDescent="0.35">
      <c r="B110" t="s">
        <v>128</v>
      </c>
      <c r="D110" t="s">
        <v>2</v>
      </c>
      <c r="E110" t="s">
        <v>2</v>
      </c>
      <c r="F110" t="s">
        <v>2</v>
      </c>
      <c r="G110">
        <v>3</v>
      </c>
      <c r="H110" s="1">
        <v>4688.6956993980075</v>
      </c>
      <c r="I110" s="1">
        <v>342.0241096241877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Text</vt:lpstr>
      <vt:lpstr>Simple examples</vt:lpstr>
      <vt:lpstr>Complex 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2022-03-01T05:10:58Z</dcterms:created>
  <dcterms:modified xsi:type="dcterms:W3CDTF">2023-08-24T06:24:47Z</dcterms:modified>
</cp:coreProperties>
</file>