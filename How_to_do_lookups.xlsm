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tables/table1.xml" ContentType="application/vnd.openxmlformats-officedocument.spreadsheetml.table+xml"/>
  <Override PartName="/xl/drawings/drawing3.xml" ContentType="application/vnd.openxmlformats-officedocument.drawing+xml"/>
  <Override PartName="/xl/tables/table2.xml" ContentType="application/vnd.openxmlformats-officedocument.spreadsheetml.table+xml"/>
  <Override PartName="/xl/drawings/drawing4.xml" ContentType="application/vnd.openxmlformats-officedocument.drawing+xml"/>
  <Override PartName="/xl/tables/table3.xml" ContentType="application/vnd.openxmlformats-officedocument.spreadsheetml.table+xml"/>
  <Override PartName="/xl/drawings/drawing5.xml" ContentType="application/vnd.openxmlformats-officedocument.drawing+xml"/>
  <Override PartName="/xl/tables/table4.xml" ContentType="application/vnd.openxmlformats-officedocument.spreadsheetml.table+xml"/>
  <Override PartName="/xl/drawings/drawing6.xml" ContentType="application/vnd.openxmlformats-officedocument.drawing+xml"/>
  <Override PartName="/xl/tables/table5.xml" ContentType="application/vnd.openxmlformats-officedocument.spreadsheetml.table+xml"/>
  <Override PartName="/xl/drawings/drawing7.xml" ContentType="application/vnd.openxmlformats-officedocument.drawing+xml"/>
  <Override PartName="/xl/tables/table6.xml" ContentType="application/vnd.openxmlformats-officedocument.spreadsheetml.table+xml"/>
  <Override PartName="/xl/drawings/drawing8.xml" ContentType="application/vnd.openxmlformats-officedocument.drawing+xml"/>
  <Override PartName="/xl/tables/table7.xml" ContentType="application/vnd.openxmlformats-officedocument.spreadsheetml.table+xml"/>
  <Override PartName="/xl/drawings/drawing9.xml" ContentType="application/vnd.openxmlformats-officedocument.drawing+xml"/>
  <Override PartName="/xl/tables/table8.xml" ContentType="application/vnd.openxmlformats-officedocument.spreadsheetml.table+xml"/>
  <Override PartName="/xl/drawings/drawing10.xml" ContentType="application/vnd.openxmlformats-officedocument.drawing+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comments1.xml" ContentType="application/vnd.openxmlformats-officedocument.spreadsheetml.comments+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drawings/drawing11.xml" ContentType="application/vnd.openxmlformats-officedocument.drawing+xml"/>
  <Override PartName="/xl/tables/table18.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924" codeName="{E757BCB4-07E6-AE0B-56E0-F0EEF7A6E26C}"/>
  <workbookPr codeName="ThisWorkbook" defaultThemeVersion="166925"/>
  <mc:AlternateContent xmlns:mc="http://schemas.openxmlformats.org/markup-compatibility/2006">
    <mc:Choice Requires="x15">
      <x15ac:absPath xmlns:x15ac="http://schemas.microsoft.com/office/spreadsheetml/2010/11/ac" url="C:\Users\matth\SpreadsheetCoder\"/>
    </mc:Choice>
  </mc:AlternateContent>
  <xr:revisionPtr revIDLastSave="0" documentId="13_ncr:1_{82ED7686-1887-43CE-BE1A-D4BF0188E203}" xr6:coauthVersionLast="47" xr6:coauthVersionMax="47" xr10:uidLastSave="{00000000-0000-0000-0000-000000000000}"/>
  <bookViews>
    <workbookView xWindow="-110" yWindow="-110" windowWidth="19420" windowHeight="11500" xr2:uid="{1AD26365-7FBC-4E2D-B9B0-F1EB30D5C899}"/>
  </bookViews>
  <sheets>
    <sheet name="Text" sheetId="3" r:id="rId1"/>
    <sheet name="singleCriteriaInexact" sheetId="4" r:id="rId2"/>
    <sheet name="singleCriteriaInexactSafe" sheetId="6" r:id="rId3"/>
    <sheet name="singleCriteriaExact" sheetId="5" r:id="rId4"/>
    <sheet name="singleCriteriaExactSafe" sheetId="7" r:id="rId5"/>
    <sheet name="MultipleSingleLookups" sheetId="8" r:id="rId6"/>
    <sheet name="multipleMatchLegacy" sheetId="9" r:id="rId7"/>
    <sheet name="multipleMatchNew" sheetId="10" r:id="rId8"/>
    <sheet name="ascendingInexactLookup" sheetId="12" r:id="rId9"/>
    <sheet name="numericInexactLookupSafer" sheetId="14" r:id="rId10"/>
    <sheet name="mySumPrd" sheetId="11" r:id="rId11"/>
    <sheet name="indexMatch2" sheetId="15" r:id="rId12"/>
    <sheet name="MultipleMatchReturnNumeric" sheetId="16" r:id="rId13"/>
    <sheet name="myLookup4" sheetId="17" r:id="rId14"/>
    <sheet name="squishedLookup" sheetId="18" r:id="rId15"/>
    <sheet name="MultipleMatchInexactNumeric" sheetId="19" r:id="rId16"/>
    <sheet name="MultipleMatchInexactNumeric2" sheetId="20" r:id="rId17"/>
    <sheet name="MultipleMatchInexactNumericSafe" sheetId="21" r:id="rId18"/>
    <sheet name="interp" sheetId="2" r:id="rId19"/>
  </sheets>
  <functionGroups builtInGroupCount="19"/>
  <definedNames>
    <definedName name="Input_concatIn" localSheetId="14">squishedLookup!$B$15</definedName>
    <definedName name="Input_criteria" localSheetId="3">singleCriteriaExact!$C$11</definedName>
    <definedName name="Input_criteria" localSheetId="4">singleCriteriaExactSafe!$C$10</definedName>
    <definedName name="Input_criteria" localSheetId="1">singleCriteriaInexact!$C$8</definedName>
    <definedName name="Input_criteria" localSheetId="2">singleCriteriaInexactSafe!$C$9</definedName>
    <definedName name="Input_criteria1" localSheetId="6">multipleMatchLegacy!$C$10</definedName>
    <definedName name="Input_criteria1" localSheetId="7">multipleMatchNew!$C$9</definedName>
    <definedName name="Input_criteria1" localSheetId="5">MultipleSingleLookups!$C$9</definedName>
    <definedName name="Input_criteria2" localSheetId="6">multipleMatchLegacy!$C$11</definedName>
    <definedName name="Input_criteria2" localSheetId="7">multipleMatchNew!$C$10</definedName>
    <definedName name="Input_criteria2" localSheetId="5">MultipleSingleLookups!$C$10</definedName>
    <definedName name="Input_criteria3" localSheetId="6">multipleMatchLegacy!$C$12</definedName>
    <definedName name="Input_criteria3" localSheetId="7">multipleMatchNew!$C$11</definedName>
    <definedName name="Input_criteria3" localSheetId="5">MultipleSingleLookups!$C$11</definedName>
    <definedName name="Input_in1" localSheetId="11">indexMatch2!$C$9</definedName>
    <definedName name="Input_in1" localSheetId="10">mySumPrd!$C$9</definedName>
    <definedName name="Input_in1_field1" localSheetId="13">myLookup4!$B$8</definedName>
    <definedName name="Input_in2_field2" localSheetId="13">myLookup4!$B$9</definedName>
    <definedName name="Input_in3_field3" localSheetId="13">myLookup4!$B$10</definedName>
    <definedName name="Input_in4_order" localSheetId="13">myLookup4!$B$11</definedName>
    <definedName name="Input_inLookup" localSheetId="18">interp!$B$11</definedName>
    <definedName name="Input_inLookup" localSheetId="15">MultipleMatchInexactNumeric!$B$21</definedName>
    <definedName name="Input_inLookup" localSheetId="16">MultipleMatchInexactNumeric2!$B$14</definedName>
    <definedName name="Input_inLookup" localSheetId="17">MultipleMatchInexactNumericSafe!$B$11</definedName>
    <definedName name="Input_input1" localSheetId="18">interp!$B$8</definedName>
    <definedName name="Input_input1" localSheetId="15">MultipleMatchInexactNumeric!$B$18</definedName>
    <definedName name="Input_input1" localSheetId="16">MultipleMatchInexactNumeric2!$B$11</definedName>
    <definedName name="Input_input1" localSheetId="17">MultipleMatchInexactNumericSafe!$B$8</definedName>
    <definedName name="Input_input1" localSheetId="12">MultipleMatchReturnNumeric!$B$9</definedName>
    <definedName name="Input_input2" localSheetId="18">interp!$B$9</definedName>
    <definedName name="Input_input2" localSheetId="15">MultipleMatchInexactNumeric!$B$19</definedName>
    <definedName name="Input_input2" localSheetId="16">MultipleMatchInexactNumeric2!$B$12</definedName>
    <definedName name="Input_input2" localSheetId="17">MultipleMatchInexactNumericSafe!$B$9</definedName>
    <definedName name="Input_input2" localSheetId="12">MultipleMatchReturnNumeric!$B$10</definedName>
    <definedName name="Input_input3" localSheetId="18">interp!$B$10</definedName>
    <definedName name="Input_input3" localSheetId="15">MultipleMatchInexactNumeric!$B$20</definedName>
    <definedName name="Input_input3" localSheetId="16">MultipleMatchInexactNumeric2!$B$13</definedName>
    <definedName name="Input_input3" localSheetId="17">MultipleMatchInexactNumericSafe!$B$10</definedName>
    <definedName name="Input_input3" localSheetId="12">MultipleMatchReturnNumeric!$B$11</definedName>
    <definedName name="Input_lookup" localSheetId="8">ascendingInexactLookup!$B$20</definedName>
    <definedName name="Input_lookup" localSheetId="9">numericInexactLookupSafer!$B$23</definedName>
    <definedName name="Inputs" localSheetId="8">ascendingInexactLookup!$B$20</definedName>
    <definedName name="Inputs" localSheetId="11">indexMatch2!$C$9</definedName>
    <definedName name="Inputs" localSheetId="18">interp!$B$8:$B$11</definedName>
    <definedName name="Inputs" localSheetId="15">MultipleMatchInexactNumeric!$B$18:$B$21</definedName>
    <definedName name="Inputs" localSheetId="16">MultipleMatchInexactNumeric2!$B$11:$B$14</definedName>
    <definedName name="Inputs" localSheetId="17">MultipleMatchInexactNumericSafe!$B$8:$B$11</definedName>
    <definedName name="Inputs" localSheetId="6">multipleMatchLegacy!$C$10:$C$12</definedName>
    <definedName name="Inputs" localSheetId="7">multipleMatchNew!$C$9:$C$11</definedName>
    <definedName name="Inputs" localSheetId="12">MultipleMatchReturnNumeric!$B$9:$B$11</definedName>
    <definedName name="Inputs" localSheetId="5">MultipleSingleLookups!$C$9:$C$11</definedName>
    <definedName name="Inputs" localSheetId="13">myLookup4!$B$8:$B$11</definedName>
    <definedName name="Inputs" localSheetId="10">mySumPrd!$C$9</definedName>
    <definedName name="Inputs" localSheetId="9">numericInexactLookupSafer!$B$23</definedName>
    <definedName name="Inputs" localSheetId="3">singleCriteriaExact!$C$11</definedName>
    <definedName name="Inputs" localSheetId="4">singleCriteriaExactSafe!$C$10</definedName>
    <definedName name="Inputs" localSheetId="1">singleCriteriaInexact!$C$8</definedName>
    <definedName name="Inputs" localSheetId="2">singleCriteriaInexactSafe!$C$9</definedName>
    <definedName name="Inputs" localSheetId="14">squishedLookup!$B$15</definedName>
    <definedName name="Output_ascendingInexactLookup" localSheetId="8">ascendingInexactLookup!$B$21</definedName>
    <definedName name="Output_indexMatch2" localSheetId="11">indexMatch2!$C$10</definedName>
    <definedName name="Output_interp" localSheetId="18">interp!$B$20</definedName>
    <definedName name="Output_multipleLegacy" localSheetId="6">multipleMatchLegacy!$C$14</definedName>
    <definedName name="Output_multipleLegacy" localSheetId="7">multipleMatchNew!$C$13</definedName>
    <definedName name="Output_MultipleMarchReturnNumeric" localSheetId="12">MultipleMatchReturnNumeric!$B$13</definedName>
    <definedName name="Output_MultipleMatchInexactNumeric" localSheetId="15">MultipleMatchInexactNumeric!$B$23</definedName>
    <definedName name="Output_MultipleMatchInexactNumeric2" localSheetId="16">MultipleMatchInexactNumeric2!$B$19</definedName>
    <definedName name="Output_MultipleMatchInexactNumericSafe" localSheetId="17">MultipleMatchInexactNumericSafe!$B$20</definedName>
    <definedName name="Output_multipleMatchLegacy" localSheetId="6">multipleMatchLegacy!$C$14</definedName>
    <definedName name="Output_multipleMatchNew" localSheetId="7">multipleMatchNew!$C$13</definedName>
    <definedName name="Output_MultipleMatchReturnNumeric" localSheetId="12">MultipleMatchReturnNumeric!$B$13</definedName>
    <definedName name="Output_MultipleSingleLookups" localSheetId="5">MultipleSingleLookups!$C$17</definedName>
    <definedName name="Output_myLookup4" localSheetId="13">myLookup4!$B$13</definedName>
    <definedName name="Output_mySumPrd" localSheetId="10">mySumPrd!$C$11</definedName>
    <definedName name="Output_numericInexactLookupSafer" localSheetId="9">numericInexactLookupSafer!$B$24</definedName>
    <definedName name="Output_Output1" localSheetId="16">MultipleMatchInexactNumeric2!$B$19</definedName>
    <definedName name="Output_singleCriteriaExact" localSheetId="3">singleCriteriaExact!$C$13</definedName>
    <definedName name="Output_singleCriteriaExact" localSheetId="4">singleCriteriaExactSafe!$C$15</definedName>
    <definedName name="Output_singleCriteriaExactSafe" localSheetId="4">singleCriteriaExactSafe!$C$15</definedName>
    <definedName name="Output_singleCriteriaInexact" localSheetId="1">singleCriteriaInexact!$C$10</definedName>
    <definedName name="Output_singleCriteriaInexact" localSheetId="2">singleCriteriaInexactSafe!#REF!</definedName>
    <definedName name="Output_singleCriteriaInexactSafe" localSheetId="2">singleCriteriaInexactSafe!$C$13</definedName>
    <definedName name="Output_squishedLookup" localSheetId="14">squishedLookup!$B$17</definedName>
    <definedName name="Outputs" localSheetId="8">ascendingInexactLookup!$B$21</definedName>
    <definedName name="Outputs" localSheetId="11">indexMatch2!$C$10</definedName>
    <definedName name="Outputs" localSheetId="18">interp!$B$20</definedName>
    <definedName name="Outputs" localSheetId="15">MultipleMatchInexactNumeric!$B$23</definedName>
    <definedName name="Outputs" localSheetId="16">MultipleMatchInexactNumeric2!$B$19</definedName>
    <definedName name="Outputs" localSheetId="17">MultipleMatchInexactNumericSafe!$B$20</definedName>
    <definedName name="Outputs" localSheetId="6">multipleMatchLegacy!$C$14</definedName>
    <definedName name="Outputs" localSheetId="7">multipleMatchNew!$C$13</definedName>
    <definedName name="Outputs" localSheetId="12">MultipleMatchReturnNumeric!$B$13</definedName>
    <definedName name="Outputs" localSheetId="5">MultipleSingleLookups!$C$17</definedName>
    <definedName name="Outputs" localSheetId="13">myLookup4!$B$13</definedName>
    <definedName name="Outputs" localSheetId="10">mySumPrd!$C$11</definedName>
    <definedName name="Outputs" localSheetId="9">numericInexactLookupSafer!$B$24</definedName>
    <definedName name="Outputs" localSheetId="3">singleCriteriaExact!$C$13</definedName>
    <definedName name="Outputs" localSheetId="4">singleCriteriaExactSafe!$C$15</definedName>
    <definedName name="Outputs" localSheetId="1">singleCriteriaInexact!$C$10</definedName>
    <definedName name="Outputs" localSheetId="2">singleCriteriaInexactSafe!$C$13</definedName>
    <definedName name="Outputs" localSheetId="14">squishedLookup!$B$17</definedName>
    <definedName name="TestCases" localSheetId="8">ascendingInexactLookup!$A$27:$A$37</definedName>
    <definedName name="TestCases" localSheetId="11">indexMatch2!$B$15:$B$19</definedName>
    <definedName name="TestCases" localSheetId="18">interp!$A$25:$D$63</definedName>
    <definedName name="TestCases" localSheetId="15">MultipleMatchInexactNumeric!$A$36:$D$71</definedName>
    <definedName name="TestCases" localSheetId="16">MultipleMatchInexactNumeric2!$A$28:$D$63</definedName>
    <definedName name="TestCases" localSheetId="17">MultipleMatchInexactNumericSafe!$A$25:$D$63</definedName>
    <definedName name="TestCases" localSheetId="6">multipleMatchLegacy!$B$25:$D$32</definedName>
    <definedName name="TestCases" localSheetId="7">multipleMatchNew!$B$24:$D$31</definedName>
    <definedName name="TestCases" localSheetId="12">MultipleMatchReturnNumeric!$B$28:$D$54</definedName>
    <definedName name="TestCases" localSheetId="5">MultipleSingleLookups!$B$28:$D$54</definedName>
    <definedName name="TestCases" localSheetId="13">myLookup4!$B$19:$E$125</definedName>
    <definedName name="TestCases" localSheetId="10">mySumPrd!$B$17:$B$21</definedName>
    <definedName name="TestCases" localSheetId="9">numericInexactLookupSafer!$A$30:$A$40</definedName>
    <definedName name="TestCases" localSheetId="3">singleCriteriaExact!$B$18:$B$26</definedName>
    <definedName name="TestCases" localSheetId="4">singleCriteriaExactSafe!$B$20:$B$37</definedName>
    <definedName name="TestCases" localSheetId="1">singleCriteriaInexact!$B$17:$B$31</definedName>
    <definedName name="TestCases" localSheetId="2">singleCriteriaInexactSafe!$B$19:$B$54</definedName>
    <definedName name="TestCases" localSheetId="14">squishedLookup!$B$21:$B$127</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N112" i="18" l="1"/>
  <c r="N111" i="18"/>
  <c r="N110" i="18"/>
  <c r="N109" i="18"/>
  <c r="N108" i="18"/>
  <c r="N107" i="18"/>
  <c r="N106" i="18"/>
  <c r="N105" i="18"/>
  <c r="N104" i="18"/>
  <c r="N103" i="18"/>
  <c r="N102" i="18"/>
  <c r="N101" i="18"/>
  <c r="N100" i="18"/>
  <c r="N99" i="18"/>
  <c r="N98" i="18"/>
  <c r="N97" i="18"/>
  <c r="N96" i="18"/>
  <c r="N95" i="18"/>
  <c r="N94" i="18"/>
  <c r="N93" i="18"/>
  <c r="N92" i="18"/>
  <c r="N91" i="18"/>
  <c r="N90" i="18"/>
  <c r="N89" i="18"/>
  <c r="N88" i="18"/>
  <c r="N87" i="18"/>
  <c r="N86" i="18"/>
  <c r="N85" i="18"/>
  <c r="N84" i="18"/>
  <c r="N83" i="18"/>
  <c r="N82" i="18"/>
  <c r="N81" i="18"/>
  <c r="N80" i="18"/>
  <c r="N79" i="18"/>
  <c r="N78" i="18"/>
  <c r="N77" i="18"/>
  <c r="N76" i="18"/>
  <c r="N75" i="18"/>
  <c r="N74" i="18"/>
  <c r="N73" i="18"/>
  <c r="N72" i="18"/>
  <c r="N71" i="18"/>
  <c r="N70" i="18"/>
  <c r="N69" i="18"/>
  <c r="N68" i="18"/>
  <c r="N67" i="18"/>
  <c r="N66" i="18"/>
  <c r="N65" i="18"/>
  <c r="N64" i="18"/>
  <c r="N63" i="18"/>
  <c r="N62" i="18"/>
  <c r="N61" i="18"/>
  <c r="N60" i="18"/>
  <c r="N59" i="18"/>
  <c r="N58" i="18"/>
  <c r="N57" i="18"/>
  <c r="N56" i="18"/>
  <c r="N55" i="18"/>
  <c r="N54" i="18"/>
  <c r="N53" i="18"/>
  <c r="N52" i="18"/>
  <c r="N51" i="18"/>
  <c r="N50" i="18"/>
  <c r="N49" i="18"/>
  <c r="N48" i="18"/>
  <c r="N47" i="18"/>
  <c r="N46" i="18"/>
  <c r="N45" i="18"/>
  <c r="N44" i="18"/>
  <c r="N43" i="18"/>
  <c r="N42" i="18"/>
  <c r="N41" i="18"/>
  <c r="N40" i="18"/>
  <c r="N39" i="18"/>
  <c r="N38" i="18"/>
  <c r="N37" i="18"/>
  <c r="N36" i="18"/>
  <c r="N35" i="18"/>
  <c r="N34" i="18"/>
  <c r="N33" i="18"/>
  <c r="N32" i="18"/>
  <c r="N31" i="18"/>
  <c r="N30" i="18"/>
  <c r="N29" i="18"/>
  <c r="N28" i="18"/>
  <c r="N27" i="18"/>
  <c r="N26" i="18"/>
  <c r="N25" i="18"/>
  <c r="N24" i="18"/>
  <c r="N23" i="18"/>
  <c r="N22" i="18"/>
  <c r="N21" i="18"/>
  <c r="N20" i="18"/>
  <c r="N19" i="18"/>
  <c r="N18" i="18"/>
  <c r="N17" i="18"/>
  <c r="N16" i="18"/>
  <c r="N15" i="18"/>
  <c r="N14" i="18"/>
  <c r="N13" i="18"/>
  <c r="N12" i="18"/>
  <c r="N11" i="18"/>
  <c r="N10" i="18"/>
  <c r="N9" i="18"/>
  <c r="N8" i="18"/>
  <c r="N7" i="18"/>
  <c r="N6" i="18"/>
  <c r="B24" i="14" a="1"/>
  <c r="B24" i="14" s="1"/>
  <c r="B19" i="20" a="1"/>
  <c r="B19" i="20" s="1"/>
  <c r="C10" i="15"/>
  <c r="F63" i="2"/>
  <c r="F62" i="2"/>
  <c r="F61" i="2"/>
  <c r="F60" i="2"/>
  <c r="F59" i="2"/>
  <c r="F58" i="2"/>
  <c r="F57" i="2"/>
  <c r="F56" i="2"/>
  <c r="F55" i="2"/>
  <c r="F54" i="2"/>
  <c r="F53" i="2"/>
  <c r="F52" i="2"/>
  <c r="F51" i="2"/>
  <c r="F50" i="2"/>
  <c r="F49" i="2"/>
  <c r="F48" i="2"/>
  <c r="F47" i="2"/>
  <c r="F46" i="2"/>
  <c r="F45" i="2"/>
  <c r="F44" i="2"/>
  <c r="F43" i="2"/>
  <c r="F42" i="2"/>
  <c r="F41" i="2"/>
  <c r="F40" i="2"/>
  <c r="F39" i="2"/>
  <c r="F38" i="2"/>
  <c r="F37" i="2"/>
  <c r="F36" i="2"/>
  <c r="F35" i="2"/>
  <c r="F34" i="2"/>
  <c r="F33" i="2"/>
  <c r="F32" i="2"/>
  <c r="F31" i="2"/>
  <c r="F30" i="2"/>
  <c r="F29" i="2"/>
  <c r="F28" i="2"/>
  <c r="F27" i="2"/>
  <c r="F26" i="2"/>
  <c r="F25" i="2"/>
  <c r="F63" i="21"/>
  <c r="F62" i="21"/>
  <c r="F61" i="21"/>
  <c r="F60" i="21"/>
  <c r="F59" i="21"/>
  <c r="F58" i="21"/>
  <c r="F57" i="21"/>
  <c r="F56" i="21"/>
  <c r="F55" i="21"/>
  <c r="F54" i="21"/>
  <c r="F53" i="21"/>
  <c r="F52" i="21"/>
  <c r="F51" i="21"/>
  <c r="F50" i="21"/>
  <c r="F49" i="21"/>
  <c r="F48" i="21"/>
  <c r="F47" i="21"/>
  <c r="F46" i="21"/>
  <c r="F45" i="21"/>
  <c r="F44" i="21"/>
  <c r="F43" i="21"/>
  <c r="F42" i="21"/>
  <c r="F41" i="21"/>
  <c r="F40" i="21"/>
  <c r="F39" i="21"/>
  <c r="F38" i="21"/>
  <c r="F37" i="21"/>
  <c r="F36" i="21"/>
  <c r="F35" i="21"/>
  <c r="F34" i="21"/>
  <c r="F33" i="21"/>
  <c r="F32" i="21"/>
  <c r="F31" i="21"/>
  <c r="F30" i="21"/>
  <c r="F29" i="21"/>
  <c r="F28" i="21"/>
  <c r="F27" i="21"/>
  <c r="F26" i="21"/>
  <c r="F25" i="21"/>
  <c r="F63" i="20"/>
  <c r="F62" i="20"/>
  <c r="F61" i="20"/>
  <c r="F60" i="20"/>
  <c r="F59" i="20"/>
  <c r="F58" i="20"/>
  <c r="F57" i="20"/>
  <c r="F56" i="20"/>
  <c r="F55" i="20"/>
  <c r="F54" i="20"/>
  <c r="F53" i="20"/>
  <c r="F52" i="20"/>
  <c r="F51" i="20"/>
  <c r="F50" i="20"/>
  <c r="F49" i="20"/>
  <c r="F48" i="20"/>
  <c r="F47" i="20"/>
  <c r="F46" i="20"/>
  <c r="F45" i="20"/>
  <c r="F44" i="20"/>
  <c r="F43" i="20"/>
  <c r="F42" i="20"/>
  <c r="F41" i="20"/>
  <c r="F40" i="20"/>
  <c r="F39" i="20"/>
  <c r="F38" i="20"/>
  <c r="F37" i="20"/>
  <c r="F36" i="20"/>
  <c r="F35" i="20"/>
  <c r="F34" i="20"/>
  <c r="F33" i="20"/>
  <c r="F32" i="20"/>
  <c r="F31" i="20"/>
  <c r="F30" i="20"/>
  <c r="F29" i="20"/>
  <c r="F28" i="20"/>
  <c r="F71" i="19"/>
  <c r="F70" i="19"/>
  <c r="F69" i="19"/>
  <c r="F68" i="19"/>
  <c r="F67" i="19"/>
  <c r="F66" i="19"/>
  <c r="F65" i="19"/>
  <c r="F64" i="19"/>
  <c r="F63" i="19"/>
  <c r="F62" i="19"/>
  <c r="F61" i="19"/>
  <c r="F60" i="19"/>
  <c r="F59" i="19"/>
  <c r="F58" i="19"/>
  <c r="F57" i="19"/>
  <c r="F56" i="19"/>
  <c r="F55" i="19"/>
  <c r="F54" i="19"/>
  <c r="F53" i="19"/>
  <c r="F52" i="19"/>
  <c r="F51" i="19"/>
  <c r="F50" i="19"/>
  <c r="F49" i="19"/>
  <c r="F48" i="19"/>
  <c r="F47" i="19"/>
  <c r="F46" i="19"/>
  <c r="F45" i="19"/>
  <c r="F44" i="19"/>
  <c r="F43" i="19"/>
  <c r="F42" i="19"/>
  <c r="F41" i="19"/>
  <c r="F40" i="19"/>
  <c r="F39" i="19"/>
  <c r="F38" i="19"/>
  <c r="F37" i="19"/>
  <c r="F36" i="19"/>
  <c r="D127" i="18"/>
  <c r="D126" i="18"/>
  <c r="D125" i="18"/>
  <c r="D124" i="18"/>
  <c r="D123" i="18"/>
  <c r="D122" i="18"/>
  <c r="D121" i="18"/>
  <c r="D120" i="18"/>
  <c r="D119" i="18"/>
  <c r="D118" i="18"/>
  <c r="D117" i="18"/>
  <c r="D116" i="18"/>
  <c r="D115" i="18"/>
  <c r="D114" i="18"/>
  <c r="D113" i="18"/>
  <c r="D112" i="18"/>
  <c r="D111" i="18"/>
  <c r="D110" i="18"/>
  <c r="D109" i="18"/>
  <c r="D108" i="18"/>
  <c r="D107" i="18"/>
  <c r="D106" i="18"/>
  <c r="D105" i="18"/>
  <c r="D104" i="18"/>
  <c r="D103" i="18"/>
  <c r="D102" i="18"/>
  <c r="D101" i="18"/>
  <c r="D100" i="18"/>
  <c r="D99" i="18"/>
  <c r="D98" i="18"/>
  <c r="D97" i="18"/>
  <c r="D96" i="18"/>
  <c r="D95" i="18"/>
  <c r="D94" i="18"/>
  <c r="D93" i="18"/>
  <c r="D92" i="18"/>
  <c r="D91" i="18"/>
  <c r="D90" i="18"/>
  <c r="D89" i="18"/>
  <c r="D88" i="18"/>
  <c r="D87" i="18"/>
  <c r="D86" i="18"/>
  <c r="D85" i="18"/>
  <c r="D84" i="18"/>
  <c r="D83" i="18"/>
  <c r="D82" i="18"/>
  <c r="D81" i="18"/>
  <c r="D80" i="18"/>
  <c r="D79" i="18"/>
  <c r="D78" i="18"/>
  <c r="D77" i="18"/>
  <c r="D76" i="18"/>
  <c r="D75" i="18"/>
  <c r="D74" i="18"/>
  <c r="D73" i="18"/>
  <c r="D72" i="18"/>
  <c r="D71" i="18"/>
  <c r="D70" i="18"/>
  <c r="D69" i="18"/>
  <c r="D68" i="18"/>
  <c r="D67" i="18"/>
  <c r="D66" i="18"/>
  <c r="D65" i="18"/>
  <c r="D64" i="18"/>
  <c r="D63" i="18"/>
  <c r="D62" i="18"/>
  <c r="D61" i="18"/>
  <c r="D60" i="18"/>
  <c r="D59" i="18"/>
  <c r="D58" i="18"/>
  <c r="D57" i="18"/>
  <c r="D56" i="18"/>
  <c r="D55" i="18"/>
  <c r="D54" i="18"/>
  <c r="D53" i="18"/>
  <c r="D52" i="18"/>
  <c r="D51" i="18"/>
  <c r="D50" i="18"/>
  <c r="D49" i="18"/>
  <c r="D48" i="18"/>
  <c r="D47" i="18"/>
  <c r="D46" i="18"/>
  <c r="D45" i="18"/>
  <c r="D44" i="18"/>
  <c r="D43" i="18"/>
  <c r="D42" i="18"/>
  <c r="D41" i="18"/>
  <c r="D40" i="18"/>
  <c r="D39" i="18"/>
  <c r="D38" i="18"/>
  <c r="D37" i="18"/>
  <c r="D36" i="18"/>
  <c r="D35" i="18"/>
  <c r="D34" i="18"/>
  <c r="D33" i="18"/>
  <c r="D32" i="18"/>
  <c r="D31" i="18"/>
  <c r="D30" i="18"/>
  <c r="D29" i="18"/>
  <c r="D28" i="18"/>
  <c r="D27" i="18"/>
  <c r="D26" i="18"/>
  <c r="D25" i="18"/>
  <c r="D24" i="18"/>
  <c r="D23" i="18"/>
  <c r="D22" i="18"/>
  <c r="D21" i="18"/>
  <c r="G125" i="17"/>
  <c r="G124" i="17"/>
  <c r="G123" i="17"/>
  <c r="G122" i="17"/>
  <c r="G121" i="17"/>
  <c r="G120" i="17"/>
  <c r="G119" i="17"/>
  <c r="G118" i="17"/>
  <c r="G117" i="17"/>
  <c r="G116" i="17"/>
  <c r="G115" i="17"/>
  <c r="G114" i="17"/>
  <c r="G113" i="17"/>
  <c r="G112" i="17"/>
  <c r="G111" i="17"/>
  <c r="G110" i="17"/>
  <c r="G109" i="17"/>
  <c r="G108" i="17"/>
  <c r="G107" i="17"/>
  <c r="G106" i="17"/>
  <c r="G105" i="17"/>
  <c r="G104" i="17"/>
  <c r="G103" i="17"/>
  <c r="G102" i="17"/>
  <c r="G101" i="17"/>
  <c r="G100" i="17"/>
  <c r="G99" i="17"/>
  <c r="G98" i="17"/>
  <c r="G97" i="17"/>
  <c r="G96" i="17"/>
  <c r="G95" i="17"/>
  <c r="G94" i="17"/>
  <c r="G93" i="17"/>
  <c r="G92" i="17"/>
  <c r="G91" i="17"/>
  <c r="G90" i="17"/>
  <c r="G89" i="17"/>
  <c r="G88" i="17"/>
  <c r="G87" i="17"/>
  <c r="G86" i="17"/>
  <c r="G85" i="17"/>
  <c r="G84" i="17"/>
  <c r="G83" i="17"/>
  <c r="G82" i="17"/>
  <c r="G81" i="17"/>
  <c r="G80" i="17"/>
  <c r="G79" i="17"/>
  <c r="G78" i="17"/>
  <c r="G77" i="17"/>
  <c r="G76" i="17"/>
  <c r="G75" i="17"/>
  <c r="G74" i="17"/>
  <c r="G73" i="17"/>
  <c r="G72" i="17"/>
  <c r="G71" i="17"/>
  <c r="G70" i="17"/>
  <c r="G69" i="17"/>
  <c r="G68" i="17"/>
  <c r="G67" i="17"/>
  <c r="G66" i="17"/>
  <c r="G65" i="17"/>
  <c r="G64" i="17"/>
  <c r="G63" i="17"/>
  <c r="G62" i="17"/>
  <c r="G61" i="17"/>
  <c r="G60" i="17"/>
  <c r="G59" i="17"/>
  <c r="G58" i="17"/>
  <c r="G57" i="17"/>
  <c r="G56" i="17"/>
  <c r="G55" i="17"/>
  <c r="G54" i="17"/>
  <c r="G53" i="17"/>
  <c r="G52" i="17"/>
  <c r="G51" i="17"/>
  <c r="G50" i="17"/>
  <c r="G49" i="17"/>
  <c r="G48" i="17"/>
  <c r="G47" i="17"/>
  <c r="G46" i="17"/>
  <c r="G45" i="17"/>
  <c r="G44" i="17"/>
  <c r="G43" i="17"/>
  <c r="G42" i="17"/>
  <c r="G41" i="17"/>
  <c r="G40" i="17"/>
  <c r="G39" i="17"/>
  <c r="G38" i="17"/>
  <c r="G37" i="17"/>
  <c r="G36" i="17"/>
  <c r="G35" i="17"/>
  <c r="G34" i="17"/>
  <c r="G33" i="17"/>
  <c r="G32" i="17"/>
  <c r="G31" i="17"/>
  <c r="G30" i="17"/>
  <c r="G29" i="17"/>
  <c r="G28" i="17"/>
  <c r="G27" i="17"/>
  <c r="G26" i="17"/>
  <c r="G25" i="17"/>
  <c r="G24" i="17"/>
  <c r="G23" i="17"/>
  <c r="G22" i="17"/>
  <c r="G21" i="17"/>
  <c r="G20" i="17"/>
  <c r="G19" i="17"/>
  <c r="F54" i="16"/>
  <c r="F53" i="16"/>
  <c r="F52" i="16"/>
  <c r="F51" i="16"/>
  <c r="F50" i="16"/>
  <c r="F49" i="16"/>
  <c r="F48" i="16"/>
  <c r="F47" i="16"/>
  <c r="F46" i="16"/>
  <c r="F45" i="16"/>
  <c r="F44" i="16"/>
  <c r="F43" i="16"/>
  <c r="F42" i="16"/>
  <c r="F41" i="16"/>
  <c r="F40" i="16"/>
  <c r="F39" i="16"/>
  <c r="F38" i="16"/>
  <c r="F37" i="16"/>
  <c r="F36" i="16"/>
  <c r="F35" i="16"/>
  <c r="F34" i="16"/>
  <c r="F33" i="16"/>
  <c r="F32" i="16"/>
  <c r="F31" i="16"/>
  <c r="F30" i="16"/>
  <c r="F29" i="16"/>
  <c r="F28" i="16"/>
  <c r="D19" i="15"/>
  <c r="D18" i="15"/>
  <c r="D17" i="15"/>
  <c r="D16" i="15"/>
  <c r="D15" i="15"/>
  <c r="D21" i="11"/>
  <c r="D20" i="11"/>
  <c r="D19" i="11"/>
  <c r="D18" i="11"/>
  <c r="D17" i="11"/>
  <c r="C40" i="14"/>
  <c r="C39" i="14"/>
  <c r="C38" i="14"/>
  <c r="C37" i="14"/>
  <c r="C36" i="14"/>
  <c r="C35" i="14"/>
  <c r="C34" i="14"/>
  <c r="C33" i="14"/>
  <c r="C32" i="14"/>
  <c r="C31" i="14"/>
  <c r="C30" i="14"/>
  <c r="C37" i="12"/>
  <c r="C36" i="12"/>
  <c r="C35" i="12"/>
  <c r="C34" i="12"/>
  <c r="C33" i="12"/>
  <c r="C32" i="12"/>
  <c r="C31" i="12"/>
  <c r="C30" i="12"/>
  <c r="C29" i="12"/>
  <c r="C28" i="12"/>
  <c r="C27" i="12"/>
  <c r="F31" i="10"/>
  <c r="F30" i="10"/>
  <c r="F29" i="10"/>
  <c r="F28" i="10"/>
  <c r="F27" i="10"/>
  <c r="F26" i="10"/>
  <c r="F25" i="10"/>
  <c r="F24" i="10"/>
  <c r="F32" i="9"/>
  <c r="F31" i="9"/>
  <c r="F30" i="9"/>
  <c r="F29" i="9"/>
  <c r="F28" i="9"/>
  <c r="F27" i="9"/>
  <c r="F26" i="9"/>
  <c r="F25" i="9"/>
  <c r="F54" i="8"/>
  <c r="F53" i="8"/>
  <c r="F52" i="8"/>
  <c r="F51" i="8"/>
  <c r="F50" i="8"/>
  <c r="F49" i="8"/>
  <c r="F48" i="8"/>
  <c r="F47" i="8"/>
  <c r="F46" i="8"/>
  <c r="F45" i="8"/>
  <c r="F44" i="8"/>
  <c r="F43" i="8"/>
  <c r="F42" i="8"/>
  <c r="F41" i="8"/>
  <c r="F40" i="8"/>
  <c r="F39" i="8"/>
  <c r="F38" i="8"/>
  <c r="F37" i="8"/>
  <c r="F36" i="8"/>
  <c r="F35" i="8"/>
  <c r="F34" i="8"/>
  <c r="F33" i="8"/>
  <c r="F32" i="8"/>
  <c r="F31" i="8"/>
  <c r="F30" i="8"/>
  <c r="F29" i="8"/>
  <c r="F28" i="8"/>
  <c r="D37" i="7"/>
  <c r="D36" i="7"/>
  <c r="D35" i="7"/>
  <c r="D34" i="7"/>
  <c r="D33" i="7"/>
  <c r="D32" i="7"/>
  <c r="D31" i="7"/>
  <c r="D30" i="7"/>
  <c r="D29" i="7"/>
  <c r="D28" i="7"/>
  <c r="D27" i="7"/>
  <c r="D26" i="7"/>
  <c r="D25" i="7"/>
  <c r="D24" i="7"/>
  <c r="D23" i="7"/>
  <c r="D22" i="7"/>
  <c r="D21" i="7"/>
  <c r="D20" i="7"/>
  <c r="D26" i="5"/>
  <c r="D25" i="5"/>
  <c r="D24" i="5"/>
  <c r="D23" i="5"/>
  <c r="D22" i="5"/>
  <c r="D21" i="5"/>
  <c r="D20" i="5"/>
  <c r="D19" i="5"/>
  <c r="D18" i="5"/>
  <c r="D54" i="6"/>
  <c r="D53" i="6"/>
  <c r="D52" i="6"/>
  <c r="D51" i="6"/>
  <c r="D50" i="6"/>
  <c r="D49" i="6"/>
  <c r="D48" i="6"/>
  <c r="D47" i="6"/>
  <c r="D46" i="6"/>
  <c r="D45" i="6"/>
  <c r="D44" i="6"/>
  <c r="D43" i="6"/>
  <c r="D42" i="6"/>
  <c r="D41" i="6"/>
  <c r="D40" i="6"/>
  <c r="D39" i="6"/>
  <c r="D38" i="6"/>
  <c r="D37" i="6"/>
  <c r="D36" i="6"/>
  <c r="D35" i="6"/>
  <c r="D34" i="6"/>
  <c r="D33" i="6"/>
  <c r="D32" i="6"/>
  <c r="D31" i="6"/>
  <c r="D30" i="6"/>
  <c r="D29" i="6"/>
  <c r="D28" i="6"/>
  <c r="D27" i="6"/>
  <c r="D26" i="6"/>
  <c r="D25" i="6"/>
  <c r="D24" i="6"/>
  <c r="D23" i="6"/>
  <c r="D22" i="6"/>
  <c r="D21" i="6"/>
  <c r="D20" i="6"/>
  <c r="D19" i="6"/>
  <c r="D31" i="4"/>
  <c r="D30" i="4"/>
  <c r="D29" i="4"/>
  <c r="D28" i="4"/>
  <c r="D27" i="4"/>
  <c r="D26" i="4"/>
  <c r="D25" i="4"/>
  <c r="D24" i="4"/>
  <c r="D23" i="4"/>
  <c r="D22" i="4"/>
  <c r="D21" i="4"/>
  <c r="D20" i="4"/>
  <c r="D19" i="4"/>
  <c r="D18" i="4"/>
  <c r="D17" i="4"/>
  <c r="B24" i="19" a="1"/>
  <c r="G63" i="2" l="1"/>
  <c r="G62" i="2"/>
  <c r="G61" i="2"/>
  <c r="G60" i="2"/>
  <c r="G59" i="2"/>
  <c r="G58" i="2"/>
  <c r="G57" i="2"/>
  <c r="G56" i="2"/>
  <c r="G55" i="2"/>
  <c r="G54" i="2"/>
  <c r="G53" i="2"/>
  <c r="G52" i="2"/>
  <c r="G51" i="2"/>
  <c r="G50" i="2"/>
  <c r="G49" i="2"/>
  <c r="G48" i="2"/>
  <c r="G47" i="2"/>
  <c r="G46" i="2"/>
  <c r="G45" i="2"/>
  <c r="G44" i="2"/>
  <c r="G43" i="2"/>
  <c r="G42" i="2"/>
  <c r="G41" i="2"/>
  <c r="G40" i="2"/>
  <c r="G39" i="2"/>
  <c r="G38" i="2"/>
  <c r="G37" i="2"/>
  <c r="G36" i="2"/>
  <c r="G35" i="2"/>
  <c r="G34" i="2"/>
  <c r="G33" i="2"/>
  <c r="G32" i="2"/>
  <c r="G31" i="2"/>
  <c r="G30" i="2"/>
  <c r="G29" i="2"/>
  <c r="G28" i="2"/>
  <c r="G27" i="2"/>
  <c r="G26" i="2"/>
  <c r="G25" i="2"/>
  <c r="G63" i="21"/>
  <c r="G62" i="21"/>
  <c r="G61" i="21"/>
  <c r="G60" i="21"/>
  <c r="G59" i="21"/>
  <c r="G58" i="21"/>
  <c r="G57" i="21"/>
  <c r="G56" i="21"/>
  <c r="G55" i="21"/>
  <c r="G54" i="21"/>
  <c r="G53" i="21"/>
  <c r="G52" i="21"/>
  <c r="G51" i="21"/>
  <c r="G50" i="21"/>
  <c r="G49" i="21"/>
  <c r="G48" i="21"/>
  <c r="G47" i="21"/>
  <c r="G46" i="21"/>
  <c r="G45" i="21"/>
  <c r="G44" i="21"/>
  <c r="G43" i="21"/>
  <c r="G42" i="21"/>
  <c r="G41" i="21"/>
  <c r="G40" i="21"/>
  <c r="G39" i="21"/>
  <c r="G38" i="21"/>
  <c r="G37" i="21"/>
  <c r="G36" i="21"/>
  <c r="G35" i="21"/>
  <c r="G34" i="21"/>
  <c r="G33" i="21"/>
  <c r="G32" i="21"/>
  <c r="G31" i="21"/>
  <c r="G30" i="21"/>
  <c r="G29" i="21"/>
  <c r="G28" i="21"/>
  <c r="G27" i="21"/>
  <c r="G26" i="21"/>
  <c r="G25" i="21"/>
  <c r="G63" i="20"/>
  <c r="G62" i="20"/>
  <c r="G61" i="20"/>
  <c r="G60" i="20"/>
  <c r="G59" i="20"/>
  <c r="G58" i="20"/>
  <c r="G57" i="20"/>
  <c r="G56" i="20"/>
  <c r="G55" i="20"/>
  <c r="G54" i="20"/>
  <c r="G53" i="20"/>
  <c r="G52" i="20"/>
  <c r="G51" i="20"/>
  <c r="G50" i="20"/>
  <c r="G49" i="20"/>
  <c r="G48" i="20"/>
  <c r="G47" i="20"/>
  <c r="G46" i="20"/>
  <c r="G45" i="20"/>
  <c r="G44" i="20"/>
  <c r="G43" i="20"/>
  <c r="G42" i="20"/>
  <c r="G41" i="20"/>
  <c r="G40" i="20"/>
  <c r="G39" i="20"/>
  <c r="G38" i="20"/>
  <c r="G37" i="20"/>
  <c r="G36" i="20"/>
  <c r="G35" i="20"/>
  <c r="G34" i="20"/>
  <c r="G33" i="20"/>
  <c r="G32" i="20"/>
  <c r="G31" i="20"/>
  <c r="G30" i="20"/>
  <c r="G29" i="20"/>
  <c r="G28" i="20"/>
  <c r="G71" i="19"/>
  <c r="G70" i="19"/>
  <c r="G69" i="19"/>
  <c r="G68" i="19"/>
  <c r="G67" i="19"/>
  <c r="G66" i="19"/>
  <c r="G65" i="19"/>
  <c r="G64" i="19"/>
  <c r="G63" i="19"/>
  <c r="G62" i="19"/>
  <c r="G61" i="19"/>
  <c r="G60" i="19"/>
  <c r="G59" i="19"/>
  <c r="G58" i="19"/>
  <c r="G57" i="19"/>
  <c r="G56" i="19"/>
  <c r="G55" i="19"/>
  <c r="G54" i="19"/>
  <c r="G53" i="19"/>
  <c r="G52" i="19"/>
  <c r="G51" i="19"/>
  <c r="G50" i="19"/>
  <c r="G49" i="19"/>
  <c r="G48" i="19"/>
  <c r="G47" i="19"/>
  <c r="G46" i="19"/>
  <c r="G45" i="19"/>
  <c r="G44" i="19"/>
  <c r="G43" i="19"/>
  <c r="G42" i="19"/>
  <c r="G41" i="19"/>
  <c r="G40" i="19"/>
  <c r="G39" i="19"/>
  <c r="G38" i="19"/>
  <c r="G37" i="19"/>
  <c r="G36" i="19"/>
  <c r="E127" i="18"/>
  <c r="E126" i="18"/>
  <c r="E125" i="18"/>
  <c r="E124" i="18"/>
  <c r="E123" i="18"/>
  <c r="E122" i="18"/>
  <c r="E121" i="18"/>
  <c r="E120" i="18"/>
  <c r="E119" i="18"/>
  <c r="E118" i="18"/>
  <c r="E117" i="18"/>
  <c r="E116" i="18"/>
  <c r="E115" i="18"/>
  <c r="E114" i="18"/>
  <c r="E113" i="18"/>
  <c r="E112" i="18"/>
  <c r="E111" i="18"/>
  <c r="E110" i="18"/>
  <c r="E109" i="18"/>
  <c r="E108" i="18"/>
  <c r="E107" i="18"/>
  <c r="E106" i="18"/>
  <c r="E105" i="18"/>
  <c r="E104" i="18"/>
  <c r="E103" i="18"/>
  <c r="E102" i="18"/>
  <c r="E101" i="18"/>
  <c r="E100" i="18"/>
  <c r="E99" i="18"/>
  <c r="E98" i="18"/>
  <c r="E97" i="18"/>
  <c r="E96" i="18"/>
  <c r="E95" i="18"/>
  <c r="E94" i="18"/>
  <c r="E93" i="18"/>
  <c r="E92" i="18"/>
  <c r="E91" i="18"/>
  <c r="E90" i="18"/>
  <c r="E89" i="18"/>
  <c r="E88" i="18"/>
  <c r="E87" i="18"/>
  <c r="E86" i="18"/>
  <c r="E85" i="18"/>
  <c r="E84" i="18"/>
  <c r="E83" i="18"/>
  <c r="E82" i="18"/>
  <c r="E81" i="18"/>
  <c r="E80" i="18"/>
  <c r="E79" i="18"/>
  <c r="E78" i="18"/>
  <c r="E77" i="18"/>
  <c r="E76" i="18"/>
  <c r="E75" i="18"/>
  <c r="E74" i="18"/>
  <c r="E73" i="18"/>
  <c r="E72" i="18"/>
  <c r="E71" i="18"/>
  <c r="E70" i="18"/>
  <c r="E69" i="18"/>
  <c r="E68" i="18"/>
  <c r="E67" i="18"/>
  <c r="E66" i="18"/>
  <c r="E65" i="18"/>
  <c r="E64" i="18"/>
  <c r="E63" i="18"/>
  <c r="E62" i="18"/>
  <c r="E61" i="18"/>
  <c r="E60" i="18"/>
  <c r="E59" i="18"/>
  <c r="E58" i="18"/>
  <c r="E57" i="18"/>
  <c r="E56" i="18"/>
  <c r="E55" i="18"/>
  <c r="E54" i="18"/>
  <c r="E53" i="18"/>
  <c r="E52" i="18"/>
  <c r="E51" i="18"/>
  <c r="E50" i="18"/>
  <c r="E49" i="18"/>
  <c r="E48" i="18"/>
  <c r="E47" i="18"/>
  <c r="E46" i="18"/>
  <c r="E45" i="18"/>
  <c r="E44" i="18"/>
  <c r="E43" i="18"/>
  <c r="E42" i="18"/>
  <c r="E41" i="18"/>
  <c r="E40" i="18"/>
  <c r="E39" i="18"/>
  <c r="E38" i="18"/>
  <c r="E37" i="18"/>
  <c r="E36" i="18"/>
  <c r="E35" i="18"/>
  <c r="E34" i="18"/>
  <c r="E33" i="18"/>
  <c r="E32" i="18"/>
  <c r="E31" i="18"/>
  <c r="E30" i="18"/>
  <c r="E29" i="18"/>
  <c r="E28" i="18"/>
  <c r="E27" i="18"/>
  <c r="E26" i="18"/>
  <c r="E25" i="18"/>
  <c r="E24" i="18"/>
  <c r="E23" i="18"/>
  <c r="E22" i="18"/>
  <c r="E21" i="18"/>
  <c r="H125" i="17"/>
  <c r="H124" i="17"/>
  <c r="H123" i="17"/>
  <c r="H122" i="17"/>
  <c r="H121" i="17"/>
  <c r="H120" i="17"/>
  <c r="H119" i="17"/>
  <c r="H118" i="17"/>
  <c r="H117" i="17"/>
  <c r="H116" i="17"/>
  <c r="H115" i="17"/>
  <c r="H114" i="17"/>
  <c r="H113" i="17"/>
  <c r="H112" i="17"/>
  <c r="H111" i="17"/>
  <c r="H110" i="17"/>
  <c r="H109" i="17"/>
  <c r="H108" i="17"/>
  <c r="H107" i="17"/>
  <c r="H106" i="17"/>
  <c r="H105" i="17"/>
  <c r="H104" i="17"/>
  <c r="H103" i="17"/>
  <c r="H102" i="17"/>
  <c r="H101" i="17"/>
  <c r="H100" i="17"/>
  <c r="H99" i="17"/>
  <c r="H98" i="17"/>
  <c r="H97" i="17"/>
  <c r="H96" i="17"/>
  <c r="H95" i="17"/>
  <c r="H94" i="17"/>
  <c r="H93" i="17"/>
  <c r="H92" i="17"/>
  <c r="H91" i="17"/>
  <c r="H90" i="17"/>
  <c r="H89" i="17"/>
  <c r="H88" i="17"/>
  <c r="H87" i="17"/>
  <c r="H86" i="17"/>
  <c r="H85" i="17"/>
  <c r="H84" i="17"/>
  <c r="H83" i="17"/>
  <c r="H82" i="17"/>
  <c r="H81" i="17"/>
  <c r="H80" i="17"/>
  <c r="H79" i="17"/>
  <c r="H78" i="17"/>
  <c r="H77" i="17"/>
  <c r="H76" i="17"/>
  <c r="H75" i="17"/>
  <c r="H74" i="17"/>
  <c r="H73" i="17"/>
  <c r="H72" i="17"/>
  <c r="H71" i="17"/>
  <c r="H70" i="17"/>
  <c r="H69" i="17"/>
  <c r="H68" i="17"/>
  <c r="H67" i="17"/>
  <c r="H66" i="17"/>
  <c r="H65" i="17"/>
  <c r="H64" i="17"/>
  <c r="H63" i="17"/>
  <c r="H62" i="17"/>
  <c r="H61" i="17"/>
  <c r="H60" i="17"/>
  <c r="H59" i="17"/>
  <c r="H58" i="17"/>
  <c r="H57" i="17"/>
  <c r="H56" i="17"/>
  <c r="H55" i="17"/>
  <c r="H54" i="17"/>
  <c r="H53" i="17"/>
  <c r="H52" i="17"/>
  <c r="H51" i="17"/>
  <c r="H50" i="17"/>
  <c r="H49" i="17"/>
  <c r="H48" i="17"/>
  <c r="H47" i="17"/>
  <c r="H46" i="17"/>
  <c r="H45" i="17"/>
  <c r="H44" i="17"/>
  <c r="H43" i="17"/>
  <c r="H42" i="17"/>
  <c r="H41" i="17"/>
  <c r="H40" i="17"/>
  <c r="H39" i="17"/>
  <c r="H38" i="17"/>
  <c r="H37" i="17"/>
  <c r="H36" i="17"/>
  <c r="H35" i="17"/>
  <c r="H34" i="17"/>
  <c r="H33" i="17"/>
  <c r="H32" i="17"/>
  <c r="H31" i="17"/>
  <c r="H30" i="17"/>
  <c r="H29" i="17"/>
  <c r="H28" i="17"/>
  <c r="H27" i="17"/>
  <c r="H26" i="17"/>
  <c r="H25" i="17"/>
  <c r="H24" i="17"/>
  <c r="H23" i="17"/>
  <c r="H22" i="17"/>
  <c r="H21" i="17"/>
  <c r="H20" i="17"/>
  <c r="H19" i="17"/>
  <c r="G54" i="16"/>
  <c r="G53" i="16"/>
  <c r="G52" i="16"/>
  <c r="G51" i="16"/>
  <c r="G50" i="16"/>
  <c r="G49" i="16"/>
  <c r="G48" i="16"/>
  <c r="G47" i="16"/>
  <c r="G46" i="16"/>
  <c r="G45" i="16"/>
  <c r="G44" i="16"/>
  <c r="G43" i="16"/>
  <c r="G42" i="16"/>
  <c r="G41" i="16"/>
  <c r="G40" i="16"/>
  <c r="G39" i="16"/>
  <c r="G38" i="16"/>
  <c r="G37" i="16"/>
  <c r="G36" i="16"/>
  <c r="G35" i="16"/>
  <c r="G34" i="16"/>
  <c r="G33" i="16"/>
  <c r="G32" i="16"/>
  <c r="G31" i="16"/>
  <c r="G30" i="16"/>
  <c r="G29" i="16"/>
  <c r="G28" i="16"/>
  <c r="E19" i="15"/>
  <c r="E18" i="15"/>
  <c r="E17" i="15"/>
  <c r="E16" i="15"/>
  <c r="E15" i="15"/>
  <c r="E21" i="11"/>
  <c r="E20" i="11"/>
  <c r="E19" i="11"/>
  <c r="E18" i="11"/>
  <c r="E17" i="11"/>
  <c r="D40" i="14"/>
  <c r="D39" i="14"/>
  <c r="D38" i="14"/>
  <c r="D37" i="14"/>
  <c r="D36" i="14"/>
  <c r="D35" i="14"/>
  <c r="D34" i="14"/>
  <c r="D33" i="14"/>
  <c r="D32" i="14"/>
  <c r="D31" i="14"/>
  <c r="D30" i="14"/>
  <c r="D37" i="12"/>
  <c r="D36" i="12"/>
  <c r="D35" i="12"/>
  <c r="D34" i="12"/>
  <c r="D33" i="12"/>
  <c r="D32" i="12"/>
  <c r="D31" i="12"/>
  <c r="D30" i="12"/>
  <c r="D29" i="12"/>
  <c r="D28" i="12"/>
  <c r="D27" i="12"/>
  <c r="G31" i="10"/>
  <c r="G30" i="10"/>
  <c r="G29" i="10"/>
  <c r="G28" i="10"/>
  <c r="G27" i="10"/>
  <c r="G26" i="10"/>
  <c r="G25" i="10"/>
  <c r="G24" i="10"/>
  <c r="G32" i="9"/>
  <c r="G31" i="9"/>
  <c r="G30" i="9"/>
  <c r="G29" i="9"/>
  <c r="G28" i="9"/>
  <c r="G27" i="9"/>
  <c r="G26" i="9"/>
  <c r="G25" i="9"/>
  <c r="G54" i="8"/>
  <c r="G53" i="8"/>
  <c r="G52" i="8"/>
  <c r="G51" i="8"/>
  <c r="G50" i="8"/>
  <c r="G49" i="8"/>
  <c r="G48" i="8"/>
  <c r="G47" i="8"/>
  <c r="G46" i="8"/>
  <c r="G45" i="8"/>
  <c r="G44" i="8"/>
  <c r="G43" i="8"/>
  <c r="G42" i="8"/>
  <c r="G41" i="8"/>
  <c r="G40" i="8"/>
  <c r="G39" i="8"/>
  <c r="G38" i="8"/>
  <c r="G37" i="8"/>
  <c r="G36" i="8"/>
  <c r="G35" i="8"/>
  <c r="G34" i="8"/>
  <c r="G33" i="8"/>
  <c r="G32" i="8"/>
  <c r="G31" i="8"/>
  <c r="G30" i="8"/>
  <c r="G29" i="8"/>
  <c r="G28" i="8"/>
  <c r="E37" i="7"/>
  <c r="E36" i="7"/>
  <c r="E35" i="7"/>
  <c r="E34" i="7"/>
  <c r="E33" i="7"/>
  <c r="E32" i="7"/>
  <c r="E31" i="7"/>
  <c r="E30" i="7"/>
  <c r="E29" i="7"/>
  <c r="E28" i="7"/>
  <c r="E27" i="7"/>
  <c r="E26" i="7"/>
  <c r="E25" i="7"/>
  <c r="E24" i="7"/>
  <c r="E23" i="7"/>
  <c r="E22" i="7"/>
  <c r="E21" i="7"/>
  <c r="E20" i="7"/>
  <c r="E26" i="5"/>
  <c r="E25" i="5"/>
  <c r="E24" i="5"/>
  <c r="E23" i="5"/>
  <c r="E22" i="5"/>
  <c r="E21" i="5"/>
  <c r="E20" i="5"/>
  <c r="E19" i="5"/>
  <c r="E18" i="5"/>
  <c r="E54" i="6"/>
  <c r="E53" i="6"/>
  <c r="E52" i="6"/>
  <c r="E51" i="6"/>
  <c r="E50" i="6"/>
  <c r="E49" i="6"/>
  <c r="E48" i="6"/>
  <c r="E47" i="6"/>
  <c r="E46" i="6"/>
  <c r="E45" i="6"/>
  <c r="E44" i="6"/>
  <c r="E43" i="6"/>
  <c r="E42" i="6"/>
  <c r="E41" i="6"/>
  <c r="E40" i="6"/>
  <c r="E39" i="6"/>
  <c r="E38" i="6"/>
  <c r="E37" i="6"/>
  <c r="E36" i="6"/>
  <c r="E35" i="6"/>
  <c r="E34" i="6"/>
  <c r="E33" i="6"/>
  <c r="E32" i="6"/>
  <c r="E31" i="6"/>
  <c r="E30" i="6"/>
  <c r="E29" i="6"/>
  <c r="E28" i="6"/>
  <c r="E27" i="6"/>
  <c r="E26" i="6"/>
  <c r="E25" i="6"/>
  <c r="E24" i="6"/>
  <c r="E23" i="6"/>
  <c r="E22" i="6"/>
  <c r="E21" i="6"/>
  <c r="E20" i="6"/>
  <c r="E19" i="6"/>
  <c r="E31" i="4"/>
  <c r="E30" i="4"/>
  <c r="E29" i="4"/>
  <c r="E28" i="4"/>
  <c r="E27" i="4"/>
  <c r="E26" i="4"/>
  <c r="E25" i="4"/>
  <c r="E24" i="4"/>
  <c r="E23" i="4"/>
  <c r="E22" i="4"/>
  <c r="E21" i="4"/>
  <c r="E20" i="4"/>
  <c r="E19" i="4"/>
  <c r="E18" i="4"/>
  <c r="E17" i="4"/>
  <c r="B24" i="19"/>
  <c r="B17" i="21" a="1"/>
  <c r="B17" i="21" s="1"/>
  <c r="B20" i="21" s="1" a="1"/>
  <c r="B20" i="21" s="1"/>
  <c r="B21" i="21" a="1"/>
  <c r="J24" i="2" l="1"/>
  <c r="J24" i="21"/>
  <c r="J27" i="20"/>
  <c r="J35" i="19"/>
  <c r="H20" i="18"/>
  <c r="K18" i="17"/>
  <c r="J27" i="16"/>
  <c r="H14" i="15"/>
  <c r="H16" i="11"/>
  <c r="G29" i="14"/>
  <c r="G26" i="12"/>
  <c r="J23" i="10"/>
  <c r="J24" i="9"/>
  <c r="J27" i="8"/>
  <c r="H19" i="7"/>
  <c r="H17" i="5"/>
  <c r="H18" i="6"/>
  <c r="H16" i="4"/>
  <c r="B13" i="16" a="1"/>
  <c r="B13" i="16" s="1"/>
  <c r="B21" i="21"/>
  <c r="B23" i="19" a="1"/>
  <c r="B23" i="19" s="1"/>
  <c r="X77" i="18" a="1"/>
  <c r="X77" i="18" s="1"/>
  <c r="X76" i="18" a="1"/>
  <c r="X76" i="18" s="1"/>
  <c r="X70" i="18" a="1"/>
  <c r="X70" i="18" s="1"/>
  <c r="X69" i="18" a="1"/>
  <c r="X69" i="18" s="1"/>
  <c r="X63" i="18" a="1"/>
  <c r="X63" i="18" s="1"/>
  <c r="X62" i="18" a="1"/>
  <c r="X62" i="18" s="1"/>
  <c r="X83" i="18" a="1"/>
  <c r="B17" i="18" l="1"/>
  <c r="X83" i="18"/>
  <c r="X79" i="18" a="1"/>
  <c r="X79" i="18" s="1"/>
  <c r="X78" i="18" a="1"/>
  <c r="X78" i="18" s="1"/>
  <c r="X80" i="18" l="1" a="1"/>
  <c r="X80" i="18" s="1"/>
  <c r="X82" i="18" s="1"/>
  <c r="A20" i="17"/>
  <c r="A21" i="17" s="1"/>
  <c r="A22" i="17" s="1"/>
  <c r="A23" i="17" s="1"/>
  <c r="A24" i="17" s="1"/>
  <c r="A25" i="17" s="1"/>
  <c r="A26" i="17" s="1"/>
  <c r="A27" i="17" s="1"/>
  <c r="A28" i="17" s="1"/>
  <c r="A29" i="17" s="1"/>
  <c r="A30" i="17" s="1"/>
  <c r="A31" i="17" s="1"/>
  <c r="A32" i="17" s="1"/>
  <c r="A33" i="17" s="1"/>
  <c r="A34" i="17" s="1"/>
  <c r="A35" i="17" s="1"/>
  <c r="A36" i="17" s="1"/>
  <c r="A37" i="17" s="1"/>
  <c r="A38" i="17" s="1"/>
  <c r="A39" i="17" s="1"/>
  <c r="A40" i="17" s="1"/>
  <c r="A41" i="17" s="1"/>
  <c r="A42" i="17" s="1"/>
  <c r="A43" i="17" s="1"/>
  <c r="A44" i="17" s="1"/>
  <c r="A45" i="17" s="1"/>
  <c r="A46" i="17" s="1"/>
  <c r="A47" i="17" s="1"/>
  <c r="A48" i="17" s="1"/>
  <c r="A49" i="17" s="1"/>
  <c r="A50" i="17" s="1"/>
  <c r="A51" i="17" s="1"/>
  <c r="A52" i="17" s="1"/>
  <c r="A53" i="17" s="1"/>
  <c r="A54" i="17" s="1"/>
  <c r="A55" i="17" s="1"/>
  <c r="A56" i="17" l="1"/>
  <c r="A57" i="17" s="1"/>
  <c r="A58" i="17" s="1"/>
  <c r="A59" i="17" s="1"/>
  <c r="A60" i="17" s="1"/>
  <c r="A61" i="17" s="1"/>
  <c r="A62" i="17" s="1"/>
  <c r="A63" i="17" s="1"/>
  <c r="A64" i="17" s="1"/>
  <c r="A65" i="17" s="1"/>
  <c r="A66" i="17" s="1"/>
  <c r="A67" i="17" s="1"/>
  <c r="A68" i="17" s="1"/>
  <c r="A69" i="17" s="1"/>
  <c r="A70" i="17" s="1"/>
  <c r="A71" i="17" s="1"/>
  <c r="A72" i="17" s="1"/>
  <c r="A73" i="17" s="1"/>
  <c r="A74" i="17" s="1"/>
  <c r="A75" i="17" s="1"/>
  <c r="A76" i="17" s="1"/>
  <c r="A77" i="17" s="1"/>
  <c r="A78" i="17" s="1"/>
  <c r="A79" i="17" s="1"/>
  <c r="A80" i="17" s="1"/>
  <c r="A81" i="17" s="1"/>
  <c r="A82" i="17" s="1"/>
  <c r="A83" i="17" s="1"/>
  <c r="A84" i="17" s="1"/>
  <c r="A85" i="17" s="1"/>
  <c r="A86" i="17" s="1"/>
  <c r="A87" i="17" s="1"/>
  <c r="A88" i="17" s="1"/>
  <c r="A89" i="17" s="1"/>
  <c r="A90" i="17" s="1"/>
  <c r="A91" i="17" s="1"/>
  <c r="A92" i="17" s="1"/>
  <c r="A93" i="17" s="1"/>
  <c r="A94" i="17" s="1"/>
  <c r="A95" i="17" s="1"/>
  <c r="A96" i="17" s="1"/>
  <c r="A97" i="17" s="1"/>
  <c r="A98" i="17" s="1"/>
  <c r="A99" i="17" s="1"/>
  <c r="A100" i="17" s="1"/>
  <c r="A101" i="17" s="1"/>
  <c r="A102" i="17" s="1"/>
  <c r="A103" i="17" s="1"/>
  <c r="A104" i="17" s="1"/>
  <c r="A105" i="17" s="1"/>
  <c r="A106" i="17" s="1"/>
  <c r="A107" i="17" s="1"/>
  <c r="A108" i="17" s="1"/>
  <c r="A109" i="17" s="1"/>
  <c r="A110" i="17" s="1"/>
  <c r="A111" i="17" s="1"/>
  <c r="A112" i="17" s="1"/>
  <c r="A113" i="17" s="1"/>
  <c r="A114" i="17" s="1"/>
  <c r="A115" i="17" s="1"/>
  <c r="A116" i="17" s="1"/>
  <c r="A117" i="17" s="1"/>
  <c r="A118" i="17" s="1"/>
  <c r="A119" i="17" s="1"/>
  <c r="A120" i="17" s="1"/>
  <c r="A121" i="17" s="1"/>
  <c r="A122" i="17" s="1"/>
  <c r="A123" i="17" s="1"/>
  <c r="A124" i="17" s="1"/>
  <c r="A125" i="17" s="1"/>
  <c r="B13" i="17" a="1"/>
  <c r="B13" i="17" s="1"/>
  <c r="B21" i="12" l="1" a="1"/>
  <c r="B21" i="12" s="1"/>
  <c r="D21" i="12" l="1" a="1"/>
  <c r="D21" i="12" s="1"/>
  <c r="A32" i="14"/>
  <c r="B15" i="2" a="1"/>
  <c r="B15" i="2" s="1"/>
  <c r="B14" i="2" a="1"/>
  <c r="B14" i="2" s="1"/>
  <c r="C11" i="11" a="1"/>
  <c r="C11" i="11" s="1"/>
  <c r="A37" i="12"/>
  <c r="A36" i="12"/>
  <c r="A35" i="12"/>
  <c r="A34" i="12"/>
  <c r="A33" i="12"/>
  <c r="A32" i="12"/>
  <c r="A31" i="12"/>
  <c r="A30" i="12"/>
  <c r="A29" i="12"/>
  <c r="A28" i="12"/>
  <c r="C13" i="10" a="1"/>
  <c r="C13" i="10" s="1"/>
  <c r="C14" i="9" a="1"/>
  <c r="C14" i="9" s="1"/>
  <c r="C15" i="8"/>
  <c r="C14" i="8"/>
  <c r="C13" i="8"/>
  <c r="C12" i="7"/>
  <c r="C13" i="7" s="1"/>
  <c r="C15" i="7" s="1"/>
  <c r="C13" i="5"/>
  <c r="B50" i="6"/>
  <c r="B49" i="6"/>
  <c r="B48" i="6"/>
  <c r="B47" i="6"/>
  <c r="B46" i="6"/>
  <c r="B45" i="6"/>
  <c r="B44" i="6"/>
  <c r="B43" i="6"/>
  <c r="B42" i="6"/>
  <c r="B41" i="6"/>
  <c r="B40" i="6"/>
  <c r="B39" i="6"/>
  <c r="B38" i="6"/>
  <c r="B37" i="6"/>
  <c r="B36" i="6"/>
  <c r="B35" i="6"/>
  <c r="C11" i="6"/>
  <c r="C13" i="6" s="1"/>
  <c r="C10" i="4"/>
  <c r="C14" i="10" a="1"/>
  <c r="D30" i="5"/>
  <c r="C12" i="11" a="1"/>
  <c r="C15" i="9" a="1"/>
  <c r="C16" i="7" a="1"/>
  <c r="D31" i="5"/>
  <c r="C14" i="6" a="1"/>
  <c r="D35" i="4"/>
  <c r="C14" i="5" a="1"/>
  <c r="D36" i="4"/>
  <c r="C11" i="4" a="1"/>
  <c r="B16" i="2" l="1" a="1"/>
  <c r="B16" i="2" s="1"/>
  <c r="A33" i="14"/>
  <c r="B17" i="2" a="1"/>
  <c r="B17" i="2" s="1"/>
  <c r="C17" i="8"/>
  <c r="C11" i="4"/>
  <c r="C14" i="10"/>
  <c r="C15" i="9"/>
  <c r="C14" i="6"/>
  <c r="C12" i="11"/>
  <c r="C14" i="5"/>
  <c r="C16" i="7"/>
  <c r="A34" i="14" l="1"/>
  <c r="B18" i="2" a="1"/>
  <c r="B18" i="2" s="1"/>
  <c r="B20" i="2" s="1"/>
  <c r="A35" i="14" l="1"/>
  <c r="A36" i="14" l="1"/>
  <c r="A37" i="14" l="1"/>
  <c r="A38" i="14" l="1"/>
  <c r="A39" i="14" l="1"/>
  <c r="A40" i="14"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Matthew F</author>
  </authors>
  <commentList>
    <comment ref="N6" authorId="0" shapeId="0" xr:uid="{935512A9-CBBC-4BA9-850B-95B46344C387}">
      <text>
        <r>
          <rPr>
            <b/>
            <sz val="9"/>
            <color indexed="81"/>
            <rFont val="Tahoma"/>
            <family val="2"/>
          </rPr>
          <t>Matthew F:</t>
        </r>
        <r>
          <rPr>
            <sz val="9"/>
            <color indexed="81"/>
            <rFont val="Tahoma"/>
            <family val="2"/>
          </rPr>
          <t xml:space="preserve">
Do not use formlas in tables. But also do not use the same type of table syntax outside a table. E.g. Do not use here: MyTestTableD[@[Field1]:[order]] Excel will create that nice syntax for you by default as you select the cells, but SpreadsheetCoder will fail.</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<sst xmlns="http://schemas.openxmlformats.org/spreadsheetml/2006/main" count="4914" uniqueCount="308">
  <si>
    <t>a</t>
  </si>
  <si>
    <t>b</t>
  </si>
  <si>
    <t>c</t>
  </si>
  <si>
    <t>val</t>
  </si>
  <si>
    <t>lookup</t>
  </si>
  <si>
    <t>order</t>
  </si>
  <si>
    <t>input3</t>
  </si>
  <si>
    <t>input2</t>
  </si>
  <si>
    <t>input1</t>
  </si>
  <si>
    <t>test</t>
  </si>
  <si>
    <t>mylookup2</t>
  </si>
  <si>
    <t>Field1</t>
  </si>
  <si>
    <t>Field2</t>
  </si>
  <si>
    <t>Field3</t>
  </si>
  <si>
    <t>in1_field1</t>
  </si>
  <si>
    <t>in2_field2</t>
  </si>
  <si>
    <t>in3_field3</t>
  </si>
  <si>
    <t>in4_order</t>
  </si>
  <si>
    <t>concatIn</t>
  </si>
  <si>
    <t>myLookup4</t>
  </si>
  <si>
    <t>mylookup3</t>
  </si>
  <si>
    <t>max</t>
  </si>
  <si>
    <t>lower</t>
  </si>
  <si>
    <t>upper</t>
  </si>
  <si>
    <t>lowerval</t>
  </si>
  <si>
    <t>interp</t>
  </si>
  <si>
    <t>mySumPrd</t>
  </si>
  <si>
    <t>in1</t>
  </si>
  <si>
    <t>apple</t>
  </si>
  <si>
    <t>orange</t>
  </si>
  <si>
    <t>banana</t>
  </si>
  <si>
    <t>pineapple</t>
  </si>
  <si>
    <t>carrot</t>
  </si>
  <si>
    <t>eggplant</t>
  </si>
  <si>
    <t>tomato</t>
  </si>
  <si>
    <t>asparagus</t>
  </si>
  <si>
    <t>criteria1</t>
  </si>
  <si>
    <t>criteria2</t>
  </si>
  <si>
    <t>criteria3</t>
  </si>
  <si>
    <t>result</t>
  </si>
  <si>
    <t>e</t>
  </si>
  <si>
    <t>f</t>
  </si>
  <si>
    <t>h</t>
  </si>
  <si>
    <t>i</t>
  </si>
  <si>
    <t>criteria</t>
  </si>
  <si>
    <t>k</t>
  </si>
  <si>
    <t>l</t>
  </si>
  <si>
    <t>o</t>
  </si>
  <si>
    <t>lemon</t>
  </si>
  <si>
    <t>using sumProduct designed to return sum of multiple values.</t>
  </si>
  <si>
    <t>singleCriteriaInexact</t>
  </si>
  <si>
    <t>singleCriteriaExact</t>
  </si>
  <si>
    <t>Inexact lookup, multiple criteria</t>
  </si>
  <si>
    <t>return inexact (Numeric)</t>
  </si>
  <si>
    <t>return corresponding numeric value</t>
  </si>
  <si>
    <t>Standard Sum Product</t>
  </si>
  <si>
    <t>5a</t>
  </si>
  <si>
    <t>5b</t>
  </si>
  <si>
    <t>5c</t>
  </si>
  <si>
    <t>res1</t>
  </si>
  <si>
    <t>res2</t>
  </si>
  <si>
    <t>res3</t>
  </si>
  <si>
    <t>p</t>
  </si>
  <si>
    <t>inVal</t>
  </si>
  <si>
    <t>Lookup</t>
  </si>
  <si>
    <t>For example, if you put 'b' as the input for SingleCriteriaExact, the Excel calculation will return #N/A. The VBA translated code will return 'asparagus'.</t>
  </si>
  <si>
    <t>Value lookup based on 3 'equals' criteria</t>
  </si>
  <si>
    <t>linear interpolation with multiple criteria.</t>
  </si>
  <si>
    <t>upperval</t>
  </si>
  <si>
    <t>m</t>
  </si>
  <si>
    <t>d</t>
  </si>
  <si>
    <t>g</t>
  </si>
  <si>
    <t>j</t>
  </si>
  <si>
    <t>n</t>
  </si>
  <si>
    <t>Matthew</t>
  </si>
  <si>
    <t>Inputs</t>
  </si>
  <si>
    <t>Test Outputs</t>
  </si>
  <si>
    <t>Calc Outputs</t>
  </si>
  <si>
    <t>Compare</t>
  </si>
  <si>
    <t>Total Diff:</t>
  </si>
  <si>
    <t>First 3 Rows are Reserved</t>
  </si>
  <si>
    <t>SC_ExcelStrict</t>
  </si>
  <si>
    <t>H</t>
  </si>
  <si>
    <t>standard exact match. Uses Index Match.</t>
  </si>
  <si>
    <t>standard inexact lookup. Uses index match.</t>
  </si>
  <si>
    <t>NOTE: by default match is case insensive. Most languages by default do a case sensitive search.</t>
  </si>
  <si>
    <t>B</t>
  </si>
  <si>
    <t>C</t>
  </si>
  <si>
    <t>Test Cases</t>
  </si>
  <si>
    <t>Excel returns #N/A if input is 'less than' the beginning of the range.</t>
  </si>
  <si>
    <t>Excel match is case-insensitive.</t>
  </si>
  <si>
    <t>These test cases will not work.</t>
  </si>
  <si>
    <t>singleCriteriaInexactSafe</t>
  </si>
  <si>
    <t>E</t>
  </si>
  <si>
    <t>F</t>
  </si>
  <si>
    <t>I</t>
  </si>
  <si>
    <t>K</t>
  </si>
  <si>
    <t>L</t>
  </si>
  <si>
    <t>O</t>
  </si>
  <si>
    <t>Inexact lookup with additional 'safety' features</t>
  </si>
  <si>
    <t>1) avoids case sensitivity issues by using upper case on criteria field in lookup table and upper for value to check</t>
  </si>
  <si>
    <t>A</t>
  </si>
  <si>
    <t>Some other weird test</t>
  </si>
  <si>
    <t>upper_criteria</t>
  </si>
  <si>
    <t>2) explicit logic to handle a value that is lower than the lowest value in the table.</t>
  </si>
  <si>
    <t>Note</t>
  </si>
  <si>
    <t xml:space="preserve">Excel returns #N/A if input not found in the lookup range when doing an exact match. SpreadsheetCoder forces some value to be returned. </t>
  </si>
  <si>
    <t>singleCriteriaExactSafe</t>
  </si>
  <si>
    <t>test for match</t>
  </si>
  <si>
    <t>criteria_upper</t>
  </si>
  <si>
    <t>Not Found</t>
  </si>
  <si>
    <t>2) This time I use a countif test to see if the value we are looking for is in the lookup table criteria column, if not we return 'Not found'. This type of explicit test is required to ensure that the resulting logic captures the complete possible domain for the function.</t>
  </si>
  <si>
    <t>MultipleSingleLookups</t>
  </si>
  <si>
    <t>This example doesn't add much. It just tests multiple lookups together in a single function.</t>
  </si>
  <si>
    <t>This pretty clunky form also allows older version of excel to work without requiring it being entered in as an "array formula", meaning you don't have to use ctrl-enter to enter the formula.</t>
  </si>
  <si>
    <t>This version is still pretty clunky but it does allow you to skip one Index formula</t>
  </si>
  <si>
    <t>multipleMatchNew</t>
  </si>
  <si>
    <t>multipleMatchLegacy</t>
  </si>
  <si>
    <t>See textbox on 'singleCriteriaInexactSafe' for more details.</t>
  </si>
  <si>
    <t xml:space="preserve">Note: SpreadsheetCoder doesn't attempt to replicate error states. </t>
  </si>
  <si>
    <t>This is because SpreadsheetCoder generated code is biased toward avoiding errors (which may lead to hiding errors in your process).</t>
  </si>
  <si>
    <t>1) As with singleCriteriaInexactSafe I convert this to work in a case insensitive way by forcing the input to upper case and ensuring the criteria it is matched to is already upper case.</t>
  </si>
  <si>
    <t xml:space="preserve">Exact match with additional safety features. </t>
  </si>
  <si>
    <t>Given that this is not the 'safe' version(it won't return the same value as Excel does for values outside the expected domain), note that in this case the test cases actually represent the complete domain for this function.</t>
  </si>
  <si>
    <t>Exact Match across multiple criteria</t>
  </si>
  <si>
    <t>Exact match across multiple criteria (Legacy)</t>
  </si>
  <si>
    <t>However, this only works in newer version of excel.</t>
  </si>
  <si>
    <t>Numeric Inexact Lookup with ascending numeric values</t>
  </si>
  <si>
    <t>ascendingInexactLookup</t>
  </si>
  <si>
    <t>Suppose though you tried to use this with an ascending lookup and a descending val, or just a val that jumps up and down, then this won't work.</t>
  </si>
  <si>
    <t>Numeric Inexact Lookup</t>
  </si>
  <si>
    <t>If you are doing a number lookup and the result is also number, and val order doesn't match the lookup ascending order, then you can use this formula instead.</t>
  </si>
  <si>
    <t>This will be translated exactly the same way the Ascending Numeric Inexact Lookup will be translated in code; however, the advantage is that the Excel version here actually matches</t>
  </si>
  <si>
    <t>But its common to have both be ascending. And this is simpler than the version on the next tab (InexactLookupSafer)</t>
  </si>
  <si>
    <t>Alternative syntax</t>
  </si>
  <si>
    <t>numericInexactLookupSafer</t>
  </si>
  <si>
    <t>c3</t>
  </si>
  <si>
    <t>c5</t>
  </si>
  <si>
    <t>what the code version will do if the val isn't in the same order as the lookup (as in this example below).</t>
  </si>
  <si>
    <t>There are only three possible tests! But Spreadscheet coder requires 5, so 5 it is.</t>
  </si>
  <si>
    <t xml:space="preserve">Note however that for this to work, SpreadsheetCoder does a transformation from this form to the easier form it can handle. But in order to do the </t>
  </si>
  <si>
    <t>transformation correctly the setting "Shortcuts calculations to constants" must be set to false.</t>
  </si>
  <si>
    <t>This example is just to show that the sumproduct works as you would expect in its simplest normal use.</t>
  </si>
  <si>
    <t>indexMatch2</t>
  </si>
  <si>
    <t>Index match 2</t>
  </si>
  <si>
    <t>The point of this example is to show how index match works when there are multiple possible matches.</t>
  </si>
  <si>
    <t>This is interesting for understanding compatability but less likely for normal processing.</t>
  </si>
  <si>
    <t>MultipleMatchReturnNumeric</t>
  </si>
  <si>
    <t>Input fields possible values</t>
  </si>
  <si>
    <t>Another mutliple match</t>
  </si>
  <si>
    <t>The only difference here from the prior tab is that for this table, with 4 criteria</t>
  </si>
  <si>
    <t>we will get a single numeric result</t>
  </si>
  <si>
    <t>concat</t>
  </si>
  <si>
    <t>`</t>
  </si>
  <si>
    <t>abc2</t>
  </si>
  <si>
    <t xml:space="preserve">This option works fine too--if you don't mind squishing your multiple criteria together. </t>
  </si>
  <si>
    <t>Note: for SpreadsheetCoder, tables aren't allowed to have calculated values in them.</t>
  </si>
  <si>
    <t>aaa0</t>
  </si>
  <si>
    <t>aaa1</t>
  </si>
  <si>
    <t>aaa2</t>
  </si>
  <si>
    <t>aaa3</t>
  </si>
  <si>
    <t>aab0</t>
  </si>
  <si>
    <t>aab1</t>
  </si>
  <si>
    <t>aab2</t>
  </si>
  <si>
    <t>aab3</t>
  </si>
  <si>
    <t>aac0</t>
  </si>
  <si>
    <t>aac1</t>
  </si>
  <si>
    <t>aac2</t>
  </si>
  <si>
    <t>aac3</t>
  </si>
  <si>
    <t>aba0</t>
  </si>
  <si>
    <t>aba1</t>
  </si>
  <si>
    <t>aba2</t>
  </si>
  <si>
    <t>aba3</t>
  </si>
  <si>
    <t>abb0</t>
  </si>
  <si>
    <t>abb1</t>
  </si>
  <si>
    <t>abb2</t>
  </si>
  <si>
    <t>abb3</t>
  </si>
  <si>
    <t>abc0</t>
  </si>
  <si>
    <t>abc1</t>
  </si>
  <si>
    <t>abc3</t>
  </si>
  <si>
    <t>aca0</t>
  </si>
  <si>
    <t>aca1</t>
  </si>
  <si>
    <t>aca2</t>
  </si>
  <si>
    <t>aca3</t>
  </si>
  <si>
    <t>acb0</t>
  </si>
  <si>
    <t>acb1</t>
  </si>
  <si>
    <t>acb2</t>
  </si>
  <si>
    <t>acb3</t>
  </si>
  <si>
    <t>acc0</t>
  </si>
  <si>
    <t>acc1</t>
  </si>
  <si>
    <t>acc2</t>
  </si>
  <si>
    <t>acc3</t>
  </si>
  <si>
    <t>baa1</t>
  </si>
  <si>
    <t>baa2</t>
  </si>
  <si>
    <t>baa3</t>
  </si>
  <si>
    <t>bab0</t>
  </si>
  <si>
    <t>bab1</t>
  </si>
  <si>
    <t>bab2</t>
  </si>
  <si>
    <t>bab3</t>
  </si>
  <si>
    <t>bac0</t>
  </si>
  <si>
    <t>bac1</t>
  </si>
  <si>
    <t>bac2</t>
  </si>
  <si>
    <t>bac3</t>
  </si>
  <si>
    <t>bba0</t>
  </si>
  <si>
    <t>bba1</t>
  </si>
  <si>
    <t>bba2</t>
  </si>
  <si>
    <t>bba3</t>
  </si>
  <si>
    <t>bbb0</t>
  </si>
  <si>
    <t>bbb1</t>
  </si>
  <si>
    <t>bbb2</t>
  </si>
  <si>
    <t>bbb3</t>
  </si>
  <si>
    <t>bbc0</t>
  </si>
  <si>
    <t>bbc1</t>
  </si>
  <si>
    <t>bbc2</t>
  </si>
  <si>
    <t>bbc3</t>
  </si>
  <si>
    <t>bca0</t>
  </si>
  <si>
    <t>bca1</t>
  </si>
  <si>
    <t>bca2</t>
  </si>
  <si>
    <t>bca3</t>
  </si>
  <si>
    <t>bcb0</t>
  </si>
  <si>
    <t>bcb1</t>
  </si>
  <si>
    <t>bcb2</t>
  </si>
  <si>
    <t>bcb3</t>
  </si>
  <si>
    <t>bcc0</t>
  </si>
  <si>
    <t>bcc1</t>
  </si>
  <si>
    <t>bcc2</t>
  </si>
  <si>
    <t>bcc3</t>
  </si>
  <si>
    <t>caa0</t>
  </si>
  <si>
    <t>caa1</t>
  </si>
  <si>
    <t>caa2</t>
  </si>
  <si>
    <t>caa3</t>
  </si>
  <si>
    <t>cab0</t>
  </si>
  <si>
    <t>cab1</t>
  </si>
  <si>
    <t>cab2</t>
  </si>
  <si>
    <t>cab3</t>
  </si>
  <si>
    <t>cac0</t>
  </si>
  <si>
    <t>cac1</t>
  </si>
  <si>
    <t>cac2</t>
  </si>
  <si>
    <t>cac3</t>
  </si>
  <si>
    <t>cba0</t>
  </si>
  <si>
    <t>cba1</t>
  </si>
  <si>
    <t>cba2</t>
  </si>
  <si>
    <t>cba3</t>
  </si>
  <si>
    <t>cbb0</t>
  </si>
  <si>
    <t>cbb1</t>
  </si>
  <si>
    <t>cbb2</t>
  </si>
  <si>
    <t>cbb3</t>
  </si>
  <si>
    <t>cbc0</t>
  </si>
  <si>
    <t>cbc1</t>
  </si>
  <si>
    <t>cbc2</t>
  </si>
  <si>
    <t>cbc3</t>
  </si>
  <si>
    <t>cca0</t>
  </si>
  <si>
    <t>cca1</t>
  </si>
  <si>
    <t>cca2</t>
  </si>
  <si>
    <t>cca3</t>
  </si>
  <si>
    <t>ccb0</t>
  </si>
  <si>
    <t>ccb1</t>
  </si>
  <si>
    <t>ccb2</t>
  </si>
  <si>
    <t>ccb3</t>
  </si>
  <si>
    <t>ccc0</t>
  </si>
  <si>
    <t>ccc1</t>
  </si>
  <si>
    <t>ccc2</t>
  </si>
  <si>
    <t>ccc3</t>
  </si>
  <si>
    <t>squishedLookup</t>
  </si>
  <si>
    <t>Note: the way I did this you need to have Shortcuts calculations to constants set to true, unless you have created custom support for concatenate.</t>
  </si>
  <si>
    <t xml:space="preserve">By used shortcu calcuations to constant, this will use the already concatenated value in the internal representation (the XML) of the logic to translate--vs keeping track of the values all in the separate values in the table and the concatenate function on those. </t>
  </si>
  <si>
    <t>Standard Lookup with squished criteria</t>
  </si>
  <si>
    <t>The way I did this the squished values are outside the table, but there's no reason you can't have the values in the table (so long as</t>
  </si>
  <si>
    <t>you don't have formulas there). In that case you may want to create the formula for it then copy-paste-values to get rid of the formulas</t>
  </si>
  <si>
    <t>before running spreadsheet coder.</t>
  </si>
  <si>
    <t>Inexact lookup with multiple criteria and a numeric value</t>
  </si>
  <si>
    <t>This is just the same as the ascending inexact lookup except with multiple criteria.</t>
  </si>
  <si>
    <t>Note that in that case, for the primary syntax I used the simpler MAX without wrapping it in sumproduct</t>
  </si>
  <si>
    <t>That works because I have a 'transform' that converts the max to the sumproduct version which</t>
  </si>
  <si>
    <t>SpreadsheetCoder knows how to handle natively.</t>
  </si>
  <si>
    <t>The transform must match on the number of inputs. That transform handles a single criteria.</t>
  </si>
  <si>
    <t xml:space="preserve">You could of course create your own transform with 3 matching criteria inputs and one val input </t>
  </si>
  <si>
    <t>and then use max only in this case too.</t>
  </si>
  <si>
    <t>MultipleMatchInexactNumeric</t>
  </si>
  <si>
    <t xml:space="preserve">Also note that this has one of the same limitation as the ascending inexact lookup, which is that </t>
  </si>
  <si>
    <t>this formula requires lookup be in ascending order for the Excel to work the same</t>
  </si>
  <si>
    <t>way that the SpreadsheetCoder translation will work.</t>
  </si>
  <si>
    <t>MultipleMatchInexactNumeric2</t>
  </si>
  <si>
    <t>Same as MultipleMatchInexactNumeric excel returning the val column rather than the lookup column</t>
  </si>
  <si>
    <t>As noted several places the Excel version of this formula returns the highest value for the exact matching</t>
  </si>
  <si>
    <t xml:space="preserve">fields--which mostly works for this table but in this table we do have some cases where the val </t>
  </si>
  <si>
    <t>MultipleMatchInexactNumericSafe</t>
  </si>
  <si>
    <t>inLookup</t>
  </si>
  <si>
    <t>Here we do in two steps what was attempted before in 1.</t>
  </si>
  <si>
    <t>First get the lookup value (since the structure of the table ensures those are in ascending order)</t>
  </si>
  <si>
    <t>Next do an exact match.</t>
  </si>
  <si>
    <t xml:space="preserve">It's a bit more complicated but now handles correctly the situations where val is in descending order. </t>
  </si>
  <si>
    <t>Inexact lookup, multiple criteria, safe</t>
  </si>
  <si>
    <t>and it works with multiple criteria.</t>
  </si>
  <si>
    <t>If you prefer this version that's great. But you may want to look at the MultipleMatchInexactNumericSafe instead. That format doesn't require a transform</t>
  </si>
  <si>
    <t>this puts several items together into one.</t>
  </si>
  <si>
    <t>answer</t>
  </si>
  <si>
    <t>answer2</t>
  </si>
  <si>
    <t>See comments on multipleMatchLegacy</t>
  </si>
  <si>
    <t>Often we need to match across multiple criteria at once to get a value. In some cases people do this by concatening multiple values into a single value--which works if a bit ugly (see squishedLookup)</t>
  </si>
  <si>
    <t xml:space="preserve">The form below ends up with a formula that is also a bit ugly but with the benefit of not having to create a concatenated column for your table. This version is specifically designed to be compatible with older versions of excel. </t>
  </si>
  <si>
    <t xml:space="preserve">If you are doing a number lookup and the result is also number, and they are always in ascending order, this is a good formula. </t>
  </si>
  <si>
    <t>But the logic used by Excel and the logic used when SpreadsheetCoder translates this code will be different.</t>
  </si>
  <si>
    <t>In Excel, this will actually pull the largest "val" (in the example below). And that works (though its odd) since as noted above this assume the consraint that both are ascending together. However, coding will actually pick the val assocated with the largest lookup column.</t>
  </si>
  <si>
    <t>So long as both columns are in ascending order, then both return the same value.</t>
  </si>
  <si>
    <t>Did you remember to set 'Shortcuts calculations to constants' to FALSE?</t>
  </si>
  <si>
    <t>column is descending where lookup is ascending (see b,c,a). Luckily two of the test scenarios below point out the problem</t>
  </si>
  <si>
    <t>showing that for this particular type of data this format is not appropriate.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</si>
</sst>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3" formatCode="_(* #,##0.00_);_(* \(#,##0.00\);_(* &quot;-&quot;??_);_(@_)"/>
    <numFmt numFmtId="164" formatCode="_(* #,##0.0_);_(* \(#,##0.0\);_(* &quot;-&quot;??_);_(@_)"/>
    <numFmt numFmtId="165" formatCode="_(* #,##0.00000_);_(* \(#,##0.00000\);_(* &quot;-&quot;??_);_(@_)"/>
    <numFmt numFmtId="166" formatCode="0.00000000000000"/>
    <numFmt numFmtId="167" formatCode="0.000000000000000"/>
    <numFmt numFmtId="168" formatCode="0.0"/>
  </numFmts>
  <fonts count="7" x14ac:knownFonts="1">
    <font>
      <sz val="11"/>
      <color theme="1"/>
      <name val="Calibri"/>
      <family val="2"/>
      <scheme val="minor"/>
    </font>
    <font>
      <sz val="11"/>
      <color theme="1"/>
      <name val="Calibri"/>
      <family val="2"/>
      <scheme val="minor"/>
    </font>
    <font>
      <b/>
      <sz val="11"/>
      <color theme="1"/>
      <name val="Calibri"/>
      <family val="2"/>
      <scheme val="minor"/>
    </font>
    <font>
      <b/>
      <sz val="11"/>
      <color theme="0"/>
      <name val="Calibri"/>
      <family val="2"/>
      <scheme val="minor"/>
    </font>
    <font>
      <sz val="9"/>
      <color indexed="81"/>
      <name val="Tahoma"/>
      <family val="2"/>
    </font>
    <font>
      <b/>
      <sz val="9"/>
      <color indexed="81"/>
      <name val="Tahoma"/>
      <family val="2"/>
    </font>
    <font>
      <sz val="8"/>
      <name val="Calibri"/>
      <family val="2"/>
      <scheme val="minor"/>
    </font>
  </fonts>
  <fills count="8">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4"/>
        <bgColor theme="4"/>
      </patternFill>
    </fill>
    <fill>
      <patternFill patternType="solid">
        <fgColor rgb="FFFFDB69"/>
        <bgColor indexed="64"/>
      </patternFill>
    </fill>
    <fill>
      <patternFill patternType="solid">
        <fgColor rgb="FFFFFF66"/>
        <bgColor indexed="64"/>
      </patternFill>
    </fill>
    <fill>
      <patternFill patternType="solid">
        <fgColor rgb="FFB07BD7"/>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right/>
      <top style="thin">
        <color theme="4" tint="0.39997558519241921"/>
      </top>
      <bottom/>
      <diagonal/>
    </border>
  </borders>
  <cellStyleXfs count="2">
    <xf numFmtId="0" fontId="0" fillId="0" borderId="0"/>
    <xf numFmtId="43" fontId="1" fillId="0" borderId="0" applyFont="0" applyFill="0" applyBorder="0" applyAlignment="0" applyProtection="0"/>
  </cellStyleXfs>
  <cellXfs count="28">
    <xf numFmtId="0" fontId="0" fillId="0" borderId="0" xfId="0"/>
    <xf numFmtId="164" fontId="0" fillId="0" borderId="0" xfId="0" applyNumberFormat="1"/>
    <xf numFmtId="0" fontId="0" fillId="2" borderId="1" xfId="0" applyFill="1" applyBorder="1" applyAlignment="1">
      <alignment horizontal="center"/>
    </xf>
    <xf numFmtId="164" fontId="0" fillId="0" borderId="0" xfId="1" applyNumberFormat="1" applyFont="1"/>
    <xf numFmtId="0" fontId="2" fillId="0" borderId="0" xfId="0" applyFont="1" applyAlignment="1">
      <alignment horizontal="left"/>
    </xf>
    <xf numFmtId="0" fontId="2" fillId="0" borderId="0" xfId="0" applyFont="1"/>
    <xf numFmtId="165" fontId="0" fillId="0" borderId="0" xfId="0" applyNumberFormat="1"/>
    <xf numFmtId="0" fontId="0" fillId="0" borderId="0" xfId="0" applyAlignment="1">
      <alignment horizontal="center"/>
    </xf>
    <xf numFmtId="0" fontId="0" fillId="5" borderId="0" xfId="0" applyFill="1" applyAlignment="1">
      <alignment horizontal="left"/>
    </xf>
    <xf numFmtId="0" fontId="0" fillId="5" borderId="0" xfId="0" applyFill="1"/>
    <xf numFmtId="0" fontId="0" fillId="6" borderId="1" xfId="0" applyFill="1" applyBorder="1"/>
    <xf numFmtId="0" fontId="0" fillId="7" borderId="0" xfId="0" applyFill="1"/>
    <xf numFmtId="14" fontId="0" fillId="6" borderId="1" xfId="0" applyNumberFormat="1" applyFill="1" applyBorder="1"/>
    <xf numFmtId="14" fontId="0" fillId="5" borderId="0" xfId="0" applyNumberFormat="1" applyFill="1"/>
    <xf numFmtId="0" fontId="0" fillId="0" borderId="0" xfId="0" quotePrefix="1"/>
    <xf numFmtId="0" fontId="0" fillId="3" borderId="2" xfId="0" applyFill="1" applyBorder="1"/>
    <xf numFmtId="0" fontId="0" fillId="0" borderId="2" xfId="0" applyBorder="1"/>
    <xf numFmtId="0" fontId="3" fillId="4" borderId="0" xfId="0" applyFont="1" applyFill="1"/>
    <xf numFmtId="0" fontId="0" fillId="0" borderId="0" xfId="0" applyAlignment="1">
      <alignment horizontal="left"/>
    </xf>
    <xf numFmtId="0" fontId="0" fillId="7" borderId="0" xfId="0" quotePrefix="1" applyFill="1"/>
    <xf numFmtId="166" fontId="0" fillId="0" borderId="0" xfId="0" applyNumberFormat="1"/>
    <xf numFmtId="167" fontId="0" fillId="0" borderId="0" xfId="0" applyNumberFormat="1"/>
    <xf numFmtId="164" fontId="0" fillId="7" borderId="0" xfId="1" applyNumberFormat="1" applyFont="1" applyFill="1"/>
    <xf numFmtId="0" fontId="0" fillId="6" borderId="1" xfId="0" applyFill="1" applyBorder="1" applyAlignment="1">
      <alignment horizontal="center"/>
    </xf>
    <xf numFmtId="3" fontId="0" fillId="0" borderId="0" xfId="0" applyNumberFormat="1"/>
    <xf numFmtId="168" fontId="0" fillId="7" borderId="0" xfId="0" applyNumberFormat="1" applyFill="1" applyAlignment="1">
      <alignment horizontal="center"/>
    </xf>
    <xf numFmtId="168" fontId="0" fillId="0" borderId="0" xfId="0" applyNumberFormat="1" applyAlignment="1">
      <alignment horizontal="center"/>
    </xf>
    <xf numFmtId="0" fontId="0" fillId="0" borderId="0" xfId="0" applyAlignment="1">
      <alignment horizontal="center"/>
    </xf>
  </cellXfs>
  <cellStyles count="2">
    <cellStyle name="Comma" xfId="1" builtinId="3"/>
    <cellStyle name="Normal" xfId="0" builtinId="0"/>
  </cellStyles>
  <dxfs count="37">
    <dxf>
      <numFmt numFmtId="164" formatCode="_(* #,##0.0_);_(* \(#,##0.0\);_(* &quot;-&quot;??_);_(@_)"/>
    </dxf>
    <dxf>
      <numFmt numFmtId="164" formatCode="_(* #,##0.0_);_(* \(#,##0.0\);_(* &quot;-&quot;??_);_(@_)"/>
    </dxf>
    <dxf>
      <numFmt numFmtId="164" formatCode="_(* #,##0.0_);_(* \(#,##0.0\);_(* &quot;-&quot;??_);_(@_)"/>
    </dxf>
    <dxf>
      <numFmt numFmtId="164" formatCode="_(* #,##0.0_);_(* \(#,##0.0\);_(* &quot;-&quot;??_);_(@_)"/>
    </dxf>
    <dxf>
      <numFmt numFmtId="164" formatCode="_(* #,##0.0_);_(* \(#,##0.0\);_(* &quot;-&quot;??_);_(@_)"/>
    </dxf>
    <dxf>
      <numFmt numFmtId="164" formatCode="_(* #,##0.0_);_(* \(#,##0.0\);_(* &quot;-&quot;??_);_(@_)"/>
    </dxf>
    <dxf>
      <numFmt numFmtId="164" formatCode="_(* #,##0.0_);_(* \(#,##0.0\);_(* &quot;-&quot;??_);_(@_)"/>
    </dxf>
    <dxf>
      <numFmt numFmtId="164" formatCode="_(* #,##0.0_);_(* \(#,##0.0\);_(* &quot;-&quot;??_);_(@_)"/>
    </dxf>
    <dxf>
      <numFmt numFmtId="164" formatCode="_(* #,##0.0_);_(* \(#,##0.0\);_(* &quot;-&quot;??_);_(@_)"/>
    </dxf>
    <dxf>
      <numFmt numFmtId="164" formatCode="_(* #,##0.0_);_(* \(#,##0.0\);_(* &quot;-&quot;??_);_(@_)"/>
    </dxf>
    <dxf>
      <numFmt numFmtId="164" formatCode="_(* #,##0.0_);_(* \(#,##0.0\);_(* &quot;-&quot;??_);_(@_)"/>
    </dxf>
    <dxf>
      <numFmt numFmtId="164" formatCode="_(* #,##0.0_);_(* \(#,##0.0\);_(* &quot;-&quot;??_);_(@_)"/>
    </dxf>
    <dxf>
      <numFmt numFmtId="164" formatCode="_(* #,##0.0_);_(* \(#,##0.0\);_(* &quot;-&quot;??_);_(@_)"/>
    </dxf>
    <dxf>
      <numFmt numFmtId="164" formatCode="_(* #,##0.0_);_(* \(#,##0.0\);_(* &quot;-&quot;??_);_(@_)"/>
    </dxf>
    <dxf>
      <numFmt numFmtId="164" formatCode="_(* #,##0.0_);_(* \(#,##0.0\);_(* &quot;-&quot;??_);_(@_)"/>
    </dxf>
    <dxf>
      <numFmt numFmtId="164" formatCode="_(* #,##0.0_);_(* \(#,##0.0\);_(* &quot;-&quot;??_);_(@_)"/>
    </dxf>
    <dxf>
      <numFmt numFmtId="164" formatCode="_(* #,##0.0_);_(* \(#,##0.0\);_(* &quot;-&quot;??_);_(@_)"/>
    </dxf>
    <dxf>
      <numFmt numFmtId="164" formatCode="_(* #,##0.0_);_(* \(#,##0.0\);_(* &quot;-&quot;??_);_(@_)"/>
    </dxf>
    <dxf>
      <fill>
        <patternFill patternType="solid">
          <fgColor theme="4" tint="0.79998168889431442"/>
          <bgColor theme="4" tint="0.79998168889431442"/>
        </patternFill>
      </fill>
      <border diagonalUp="0" diagonalDown="0">
        <left/>
        <right/>
        <top style="thin">
          <color theme="4" tint="0.39997558519241921"/>
        </top>
        <bottom/>
        <vertical/>
        <horizontal/>
      </border>
    </dxf>
    <dxf>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left style="thin">
          <color rgb="FF8EA9DB"/>
        </left>
        <right style="thin">
          <color rgb="FF8EA9DB"/>
        </right>
        <top style="thin">
          <color rgb="FF8EA9DB"/>
        </top>
        <bottom style="thin">
          <color rgb="FF8EA9DB"/>
        </bottom>
      </border>
    </dxf>
    <dxf>
      <fill>
        <patternFill patternType="solid">
          <fgColor rgb="FFD9E1F2"/>
          <bgColor rgb="FFD9E1F2"/>
        </patternFill>
      </fill>
    </dxf>
    <dxf>
      <font>
        <b/>
        <i val="0"/>
        <strike val="0"/>
        <condense val="0"/>
        <extend val="0"/>
        <outline val="0"/>
        <shadow val="0"/>
        <u val="none"/>
        <vertAlign val="baseline"/>
        <sz val="11"/>
        <color theme="0"/>
        <name val="Calibri"/>
        <family val="2"/>
        <scheme val="minor"/>
      </font>
      <fill>
        <patternFill patternType="solid">
          <fgColor theme="4"/>
          <bgColor theme="4"/>
        </patternFill>
      </fill>
    </dxf>
    <dxf>
      <fill>
        <patternFill patternType="solid">
          <fgColor theme="4" tint="0.79998168889431442"/>
          <bgColor theme="4" tint="0.79998168889431442"/>
        </patternFill>
      </fill>
      <border diagonalUp="0" diagonalDown="0">
        <left/>
        <right/>
        <top style="thin">
          <color theme="4" tint="0.39997558519241921"/>
        </top>
        <bottom/>
        <vertical/>
        <horizontal/>
      </border>
    </dxf>
    <dxf>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left style="thin">
          <color theme="4" tint="0.39997558519241921"/>
        </left>
        <right style="thin">
          <color theme="4" tint="0.39997558519241921"/>
        </right>
        <top style="thin">
          <color theme="4" tint="0.39997558519241921"/>
        </top>
        <bottom style="thin">
          <color theme="4" tint="0.39997558519241921"/>
        </bottom>
      </border>
    </dxf>
    <dxf>
      <fill>
        <patternFill patternType="solid">
          <fgColor theme="4" tint="0.79998168889431442"/>
          <bgColor theme="4" tint="0.79998168889431442"/>
        </patternFill>
      </fill>
    </dxf>
    <dxf>
      <font>
        <b/>
        <i val="0"/>
        <strike val="0"/>
        <condense val="0"/>
        <extend val="0"/>
        <outline val="0"/>
        <shadow val="0"/>
        <u val="none"/>
        <vertAlign val="baseline"/>
        <sz val="11"/>
        <color theme="0"/>
        <name val="Calibri"/>
        <family val="2"/>
        <scheme val="minor"/>
      </font>
      <fill>
        <patternFill patternType="solid">
          <fgColor theme="4"/>
          <bgColor theme="4"/>
        </patternFill>
      </fill>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left style="thin">
          <color theme="4" tint="0.39997558519241921"/>
        </left>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1"/>
        <color theme="0"/>
        <name val="Calibri"/>
        <family val="2"/>
        <scheme val="minor"/>
      </font>
      <fill>
        <patternFill patternType="solid">
          <fgColor theme="4"/>
          <bgColor theme="4"/>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0</xdr:col>
      <xdr:colOff>463550</xdr:colOff>
      <xdr:row>1</xdr:row>
      <xdr:rowOff>31750</xdr:rowOff>
    </xdr:from>
    <xdr:to>
      <xdr:col>8</xdr:col>
      <xdr:colOff>342900</xdr:colOff>
      <xdr:row>45</xdr:row>
      <xdr:rowOff>31750</xdr:rowOff>
    </xdr:to>
    <xdr:sp macro="" textlink="">
      <xdr:nvSpPr>
        <xdr:cNvPr id="2" name="TextBox 1">
          <a:extLst>
            <a:ext uri="{FF2B5EF4-FFF2-40B4-BE49-F238E27FC236}">
              <a16:creationId xmlns:a16="http://schemas.microsoft.com/office/drawing/2014/main" id="{A1835634-E0B3-A09E-1BBD-D57B9372C012}"/>
            </a:ext>
          </a:extLst>
        </xdr:cNvPr>
        <xdr:cNvSpPr txBox="1"/>
      </xdr:nvSpPr>
      <xdr:spPr>
        <a:xfrm>
          <a:off x="463550" y="215900"/>
          <a:ext cx="4756150" cy="81026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a:solidFill>
                <a:schemeClr val="dk1"/>
              </a:solidFill>
              <a:effectLst/>
              <a:latin typeface="+mn-lt"/>
              <a:ea typeface="+mn-ea"/>
              <a:cs typeface="+mn-cs"/>
            </a:rPr>
            <a:t>Excel is commonly associated with mathematical calculations, but it's also frequently used for lookups. Many people use "vlookup" or prefer "index match." But Excel offers various methods for similar lookups</a:t>
          </a:r>
          <a:r>
            <a:rPr lang="en-US" sz="1100" b="0" i="0" baseline="0">
              <a:solidFill>
                <a:schemeClr val="dk1"/>
              </a:solidFill>
              <a:effectLst/>
              <a:latin typeface="+mn-lt"/>
              <a:ea typeface="+mn-ea"/>
              <a:cs typeface="+mn-cs"/>
            </a:rPr>
            <a:t> and </a:t>
          </a:r>
          <a:r>
            <a:rPr lang="en-US" sz="1100" b="0" i="0">
              <a:solidFill>
                <a:schemeClr val="dk1"/>
              </a:solidFill>
              <a:effectLst/>
              <a:latin typeface="+mn-lt"/>
              <a:ea typeface="+mn-ea"/>
              <a:cs typeface="+mn-cs"/>
            </a:rPr>
            <a:t>SpreadsheetCoder supports these common methods</a:t>
          </a:r>
          <a:r>
            <a:rPr lang="en-US" sz="1100" b="0" i="0" baseline="0">
              <a:solidFill>
                <a:schemeClr val="dk1"/>
              </a:solidFill>
              <a:effectLst/>
              <a:latin typeface="+mn-lt"/>
              <a:ea typeface="+mn-ea"/>
              <a:cs typeface="+mn-cs"/>
            </a:rPr>
            <a:t> for the simple scenarios.</a:t>
          </a:r>
          <a:endParaRPr lang="en-US" sz="1100" b="0" i="0">
            <a:solidFill>
              <a:schemeClr val="dk1"/>
            </a:solidFill>
            <a:effectLst/>
            <a:latin typeface="+mn-lt"/>
            <a:ea typeface="+mn-ea"/>
            <a:cs typeface="+mn-cs"/>
          </a:endParaRPr>
        </a:p>
        <a:p>
          <a:endParaRPr lang="en-US" sz="1100" b="0" i="0">
            <a:solidFill>
              <a:schemeClr val="dk1"/>
            </a:solidFill>
            <a:effectLst/>
            <a:latin typeface="+mn-lt"/>
            <a:ea typeface="+mn-ea"/>
            <a:cs typeface="+mn-cs"/>
          </a:endParaRPr>
        </a:p>
        <a:p>
          <a:r>
            <a:rPr lang="en-US" sz="1100" b="0" i="0">
              <a:solidFill>
                <a:schemeClr val="dk1"/>
              </a:solidFill>
              <a:effectLst/>
              <a:latin typeface="+mn-lt"/>
              <a:ea typeface="+mn-ea"/>
              <a:cs typeface="+mn-cs"/>
            </a:rPr>
            <a:t>For complex lookups, like those with multiple criteria or inexact matches, there</a:t>
          </a:r>
          <a:r>
            <a:rPr lang="en-US" sz="1100" b="0" i="0" baseline="0">
              <a:solidFill>
                <a:schemeClr val="dk1"/>
              </a:solidFill>
              <a:effectLst/>
              <a:latin typeface="+mn-lt"/>
              <a:ea typeface="+mn-ea"/>
              <a:cs typeface="+mn-cs"/>
            </a:rPr>
            <a:t> are also numerous ways to achieve the correct result. </a:t>
          </a:r>
          <a:r>
            <a:rPr lang="en-US" sz="1100" b="0" i="0">
              <a:solidFill>
                <a:schemeClr val="dk1"/>
              </a:solidFill>
              <a:effectLst/>
              <a:latin typeface="+mn-lt"/>
              <a:ea typeface="+mn-ea"/>
              <a:cs typeface="+mn-cs"/>
            </a:rPr>
            <a:t>However, to ensure SpreadsheetCoder translates them efficiently, it's crucial to follow specific standardized patterns especially for the complex examples. This document guides you on using the standarized</a:t>
          </a:r>
          <a:r>
            <a:rPr lang="en-US" sz="1100" b="0" i="0" baseline="0">
              <a:solidFill>
                <a:schemeClr val="dk1"/>
              </a:solidFill>
              <a:effectLst/>
              <a:latin typeface="+mn-lt"/>
              <a:ea typeface="+mn-ea"/>
              <a:cs typeface="+mn-cs"/>
            </a:rPr>
            <a:t> functions and patterns through reference examples.</a:t>
          </a:r>
        </a:p>
        <a:p>
          <a:endParaRPr lang="en-US" sz="1100" b="0" i="0" baseline="0">
            <a:solidFill>
              <a:schemeClr val="dk1"/>
            </a:solidFill>
            <a:effectLst/>
            <a:latin typeface="+mn-lt"/>
            <a:ea typeface="+mn-ea"/>
            <a:cs typeface="+mn-cs"/>
          </a:endParaRPr>
        </a:p>
        <a:p>
          <a:r>
            <a:rPr lang="en-US" sz="1100">
              <a:solidFill>
                <a:schemeClr val="dk1"/>
              </a:solidFill>
              <a:effectLst/>
              <a:latin typeface="+mn-lt"/>
              <a:ea typeface="+mn-ea"/>
              <a:cs typeface="+mn-cs"/>
            </a:rPr>
            <a:t>Note on Excel</a:t>
          </a:r>
          <a:r>
            <a:rPr lang="en-US" sz="1100" baseline="0">
              <a:solidFill>
                <a:schemeClr val="dk1"/>
              </a:solidFill>
              <a:effectLst/>
              <a:latin typeface="+mn-lt"/>
              <a:ea typeface="+mn-ea"/>
              <a:cs typeface="+mn-cs"/>
            </a:rPr>
            <a:t> tables</a:t>
          </a:r>
          <a:endParaRPr lang="en-US">
            <a:effectLst/>
          </a:endParaRPr>
        </a:p>
        <a:p>
          <a:r>
            <a:rPr lang="en-US" sz="1100" b="0" i="0">
              <a:solidFill>
                <a:schemeClr val="dk1"/>
              </a:solidFill>
              <a:effectLst/>
              <a:latin typeface="+mn-lt"/>
              <a:ea typeface="+mn-ea"/>
              <a:cs typeface="+mn-cs"/>
            </a:rPr>
            <a:t>Using Excel tables makes your code easier to read compared to using ranges. The examples on the next sheets use tables and standardized patterns that spreadsheet coder</a:t>
          </a:r>
          <a:r>
            <a:rPr lang="en-US" sz="1100" b="0" i="0" baseline="0">
              <a:solidFill>
                <a:schemeClr val="dk1"/>
              </a:solidFill>
              <a:effectLst/>
              <a:latin typeface="+mn-lt"/>
              <a:ea typeface="+mn-ea"/>
              <a:cs typeface="+mn-cs"/>
            </a:rPr>
            <a:t> recognizes</a:t>
          </a:r>
          <a:r>
            <a:rPr lang="en-US" sz="1100" b="0" i="0">
              <a:solidFill>
                <a:schemeClr val="dk1"/>
              </a:solidFill>
              <a:effectLst/>
              <a:latin typeface="+mn-lt"/>
              <a:ea typeface="+mn-ea"/>
              <a:cs typeface="+mn-cs"/>
            </a:rPr>
            <a:t>. Using</a:t>
          </a:r>
          <a:r>
            <a:rPr lang="en-US" sz="1100" b="0" i="0" baseline="0">
              <a:solidFill>
                <a:schemeClr val="dk1"/>
              </a:solidFill>
              <a:effectLst/>
              <a:latin typeface="+mn-lt"/>
              <a:ea typeface="+mn-ea"/>
              <a:cs typeface="+mn-cs"/>
            </a:rPr>
            <a:t> tables and the standardized patterns has an extra benefit when translating to TeraData Script. </a:t>
          </a:r>
          <a:r>
            <a:rPr lang="en-US" sz="1100" b="0" i="0">
              <a:solidFill>
                <a:schemeClr val="dk1"/>
              </a:solidFill>
              <a:effectLst/>
              <a:latin typeface="+mn-lt"/>
              <a:ea typeface="+mn-ea"/>
              <a:cs typeface="+mn-cs"/>
            </a:rPr>
            <a:t>In that case, SpreadsheetCoder uses the similarities between Excel tables and database tables to produce more efficient SQL code for lookups.</a:t>
          </a:r>
        </a:p>
        <a:p>
          <a:endParaRPr lang="en-US" sz="1100" b="0" i="0">
            <a:solidFill>
              <a:schemeClr val="dk1"/>
            </a:solidFill>
            <a:effectLst/>
            <a:latin typeface="+mn-lt"/>
            <a:ea typeface="+mn-ea"/>
            <a:cs typeface="+mn-cs"/>
          </a:endParaRPr>
        </a:p>
        <a:p>
          <a:r>
            <a:rPr lang="en-US">
              <a:effectLst/>
            </a:rPr>
            <a:t>Also in that case you can think of</a:t>
          </a:r>
          <a:r>
            <a:rPr lang="en-US" baseline="0">
              <a:effectLst/>
            </a:rPr>
            <a:t> the table (let's call it a reference table) as part of the function call inputs. Imagine a function that says calculate the Present Value of a financial instrument. The function might need to know several characteristics of the instrument and it might also need a table of values for future interest rate expectations. If you the function uses interest rate expectations for the next 60 months, the funciton could have that as 60 separate inputs. Alternatively table based information can be kept in a table in Excel. When translating it as a table for TeraData Script it will create the same table with the same data in it by default. If you just use that data, then it is fixed and it isn't like an input. But you could choose instead to ensure that within your database the table has the correct rates before calling the function and in that case the table becomes an input. Note that the way teradata script runs the assumption is that you are calculating the results for many records at once. All of those records are loaded into a primary table but there is still only a single reference table. In practice this is what is wanted but you if that seems limiting you can of course ensure your reference table captures the details needed so that it can pull out different answers depending on the particulars of the function inputs. For example, if you want to value various instruments and they need to use different interest rate expectation assumptions, you might have as part of the function inputs an instrument_type which corresponds to an instrument type in your interest rate expectation reference table and then ensure your function pulls the correct interest rate expectation depending on that instrument type. </a:t>
          </a:r>
          <a:endParaRPr lang="en-US">
            <a:effectLst/>
          </a:endParaRPr>
        </a:p>
        <a:p>
          <a:endParaRPr lang="en-US" sz="1100" b="0" i="0">
            <a:solidFill>
              <a:schemeClr val="dk1"/>
            </a:solidFill>
            <a:effectLst/>
            <a:latin typeface="+mn-lt"/>
            <a:ea typeface="+mn-ea"/>
            <a:cs typeface="+mn-cs"/>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660400</xdr:colOff>
      <xdr:row>0</xdr:row>
      <xdr:rowOff>63500</xdr:rowOff>
    </xdr:from>
    <xdr:to>
      <xdr:col>17</xdr:col>
      <xdr:colOff>222250</xdr:colOff>
      <xdr:row>2</xdr:row>
      <xdr:rowOff>139700</xdr:rowOff>
    </xdr:to>
    <xdr:sp macro="" textlink="">
      <xdr:nvSpPr>
        <xdr:cNvPr id="2" name="Rectangle 1">
          <a:extLst>
            <a:ext uri="{FF2B5EF4-FFF2-40B4-BE49-F238E27FC236}">
              <a16:creationId xmlns:a16="http://schemas.microsoft.com/office/drawing/2014/main" id="{FF1D214A-A2DE-903D-7618-910C6591CFFF}"/>
            </a:ext>
          </a:extLst>
        </xdr:cNvPr>
        <xdr:cNvSpPr/>
      </xdr:nvSpPr>
      <xdr:spPr>
        <a:xfrm>
          <a:off x="1270000" y="63500"/>
          <a:ext cx="10160000" cy="44450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&lt;CodeCalculation Name="singleCriteriaInexact" Version="4" AppliesTo="All except skip" HasMultipleOutputs="0"&gt;&lt;Inputs&gt;&lt;Input InputId="1" Name="criteria" Type="0"/&gt;&lt;/Inputs&gt;&lt;InputDependencies&gt;&lt;InputDependency InputId="1" NodeId="13"/&gt;&lt;/InputDependencies&gt;&lt;TestCases&gt;&lt;TestCase&gt;&lt;InputValue Type="0" Value="b"/&gt;&lt;OutputValue Type="0" Value="lemon"/&gt;&lt;/TestCase&gt;&lt;TestCase&gt;&lt;InputValue Type="0" Value="c"/&gt;&lt;OutputValue Type="0" Value="apple"/&gt;&lt;/TestCase&gt;&lt;TestCase&gt;&lt;InputValue Type="0" Value="d"/&gt;&lt;OutputValue Type="0" Value="apple"/&gt;&lt;/TestCase&gt;&lt;TestCase&gt;&lt;InputValue Type="0" Value="e"/&gt;&lt;OutputValue Type="0" Value="orange"/&gt;&lt;/TestCase&gt;&lt;TestCase&gt;&lt;InputValue Type="0" Value="f"/&gt;&lt;OutputValue Type="0" Value="banana"/&gt;&lt;/TestCase&gt;&lt;TestCase&gt;&lt;InputValue Type="0" Value="g"/&gt;&lt;OutputValue Type="0" Value="banana"/&gt;&lt;/TestCase&gt;&lt;TestCase&gt;&lt;InputValue Type="0" Value="h"/&gt;&lt;OutputValue Type="0" Value="pineapple"/&gt;&lt;/TestCase&gt;&lt;TestCase&gt;&lt;InputValue Type="0" Value="i"/&gt;&lt;OutputValue Type="0" Value="carrot"/&gt;&lt;/TestCase&gt;&lt;TestCase&gt;&lt;InputValue Type="0" Value="j"/&gt;&lt;OutputValue Type="0" Value="carrot"/&gt;&lt;/TestCase&gt;&lt;TestCase&gt;&lt;InputValue Type="0" Value="k"/&gt;&lt;OutputValue Type="0" Value="eggplant"/&gt;&lt;/TestCase&gt;&lt;TestCase&gt;&lt;InputValue Type="0" Value="l"/&gt;&lt;OutputValue Type="0" Value="tomato"/&gt;&lt;/TestCase&gt;&lt;TestCase&gt;&lt;InputValue Type="0" Value="m"/&gt;&lt;OutputValue Type="0" Value="tomato"/&gt;&lt;/TestCase&gt;&lt;TestCase&gt;&lt;InputValue Type="0" Value="n"/&gt;&lt;OutputValue Type="0" Value="tomato"/&gt;&lt;/TestCase&gt;&lt;TestCase&gt;&lt;InputValue Type="0" Value="o"/&gt;&lt;OutputValue Type="0" Value="asparagus"/&gt;&lt;/TestCase&gt;&lt;TestCase&gt;&lt;InputValue Type="0" Value="p"/&gt;&lt;OutputValue Type="0" Value="asparagus"/&gt;&lt;/TestCase&gt;&lt;/TestCases&gt;&lt;LangSpecs&gt;&lt;LangSpec Language="1" ProcessStub="-1" PrefixStub="0" Skip="0" DefineHelperFunction="0"/&gt;&lt;LangSpec Language="3" ProcessStub="-1" PrefixStub="0" Skip="0" DefineHelperFunction="0"/&gt;&lt;/LangSpecs&gt;&lt;FunctionNodes&gt;&lt;FunctionNode NodeId="12" Name="ARRAY" HasMultipleChildren="0"/&gt;&lt;FunctionNode NodeId="25" Name="ARRAY" HasMultipleChildren="0"/&gt;&lt;FunctionNode NodeId="27" Name="MATCH" HasMultipleChildren="0"/&gt;&lt;FunctionNode NodeId="28" Name="INDEX" HasMultipleChildren="0"/&gt;&lt;/FunctionNodes&gt;&lt;ConstantNodes&gt;&lt;ConstantNode NodeId="1" Type="1" Value="9" HasMultipleChildren="0"/&gt;&lt;ConstantNode NodeId="2" Type="1" Value="1" HasMultipleChildren="0"/&gt;&lt;ConstantNode NodeId="3" Type="0" Value="lemon" HasMultipleChildren="0"/&gt;&lt;ConstantNode NodeId="4" Type="0" Value="apple" HasMultipleChildren="0"/&gt;&lt;ConstantNode NodeId="5" Type="0" Value="orange" HasMultipleChildren="0"/&gt;&lt;ConstantNode NodeId="6" Type="0" Value="banana" HasMultipleChildren="0"/&gt;&lt;ConstantNode NodeId="7" Type="0" Value="pineapple" HasMultipleChildren="0"/&gt;&lt;ConstantNode NodeId="8" Type="0" Value="carrot" HasMultipleChildren="0"/&gt;&lt;ConstantNode NodeId="9" Type="0" Value="eggplant" HasMultipleChildren="0"/&gt;&lt;ConstantNode NodeId="10" Type="0" Value="tomato" HasMultipleChildren="0"/&gt;&lt;ConstantNode NodeId="11" Type="0" Value="asparagus" HasMultipleChildren="0"/&gt;&lt;ConstantNode NodeId="14" Type="1" Value="9" HasMultipleChildren="0"/&gt;&lt;ConstantNode NodeId="15" Type="1" Value="1" HasMultipleChildren="0"/&gt;&lt;ConstantNode NodeId="16" Type="0" Value="b" HasMultipleChildren="0"/&gt;&lt;ConstantNode NodeId="17" Type="0" Value="c" HasMultipleChildren="0"/&gt;&lt;ConstantNode NodeId="18" Type="0" Value="e" HasMultipleChildren="0"/&gt;&lt;ConstantNode NodeId="19" Type="0" Value="f" HasMultipleChildren="0"/&gt;&lt;ConstantNode NodeId="20" Type="0" Value="h" HasMultipleChildren="0"/&gt;&lt;ConstantNode NodeId="21" Type="0" Value="i" HasMultipleChildren="0"/&gt;&lt;ConstantNode NodeId="22" Type="0" Value="k" HasMultipleChildren="0"/&gt;&lt;ConstantNode NodeId="23" Type="0" Value="l" HasMultipleChildren="0"/&gt;&lt;ConstantNode NodeId="24" Type="0" Value="o" HasMultipleChildren="0"/&gt;&lt;ConstantNode NodeId="26" Type="1" Value="1" HasMultipleChildren="0"/&gt;&lt;/ConstantNodes&gt;&lt;NamedNodes&gt;&lt;NamedNode NodeId="12" NameLevel="10" Name="K5:K13"/&gt;&lt;NamedNode NodeId="12" NameLevel="100" Name="myschema.singleCriteriaTableA[answer]"/&gt;&lt;NamedNode NodeId="25" NameLevel="10" Name="J5:J13"/&gt;&lt;NamedNode NodeId="25" NameLevel="100" Name="myschema.singleCriteriaTableA[criteria]"/&gt;&lt;/NamedNodes&gt;&lt;NodeComments/&gt;&lt;Outputs&gt;&lt;Output Id="1" Name="singleCriteriaInexact" Type="0" NodeId="28"/&gt;&lt;/Outputs&gt;&lt;NodeDependencies&gt;&lt;NodeDependency ParentNodeId="1" ChildNodeId="12" ParentPosition="1"/&gt;&lt;NodeDependency ParentNodeId="2" ChildNodeId="12" ParentPosition="2"/&gt;&lt;NodeDependency ParentNodeId="3" ChildNodeId="12" ParentPosition="3"/&gt;&lt;NodeDependency ParentNodeId="4" ChildNodeId="12" ParentPosition="4"/&gt;&lt;NodeDependency ParentNodeId="5" ChildNodeId="12" ParentPosition="5"/&gt;&lt;NodeDependency ParentNodeId="6" ChildNodeId="12" ParentPosition="6"/&gt;&lt;NodeDependency ParentNodeId="7" ChildNodeId="12" ParentPosition="7"/&gt;&lt;NodeDependency ParentNodeId="8" ChildNodeId="12" ParentPosition="8"/&gt;&lt;NodeDependency ParentNodeId="9" ChildNodeId="12" ParentPosition="9"/&gt;&lt;NodeDependency ParentNodeId="10" ChildNodeId="12" ParentPosition="10"/&gt;&lt;NodeDependency ParentNodeId="11" ChildNodeId="12" ParentPosition="11"/&gt;&lt;NodeDependency ParentNodeId="14" ChildNodeId="25" ParentPosition="1"/&gt;&lt;NodeDependency ParentNodeId="15" ChildNodeId="25" ParentPosition="2"/&gt;&lt;NodeDependency ParentNodeId="16" ChildNodeId="25" ParentPosition="3"/&gt;&lt;NodeDependency ParentNodeId="17" ChildNodeId="25" ParentPosition="4"/&gt;&lt;NodeDependency ParentNodeId="18" ChildNodeId="25" ParentPosition="5"/&gt;&lt;NodeDependency ParentNodeId="19" ChildNodeId="25" ParentPosition="6"/&gt;&lt;NodeDependency ParentNodeId="20" ChildNodeId="25" ParentPosition="7"/&gt;&lt;NodeDependency ParentNodeId="21" ChildNodeId="25" ParentPosition="8"/&gt;&lt;NodeDependency ParentNodeId="22" ChildNodeId="25" ParentPosition="9"/&gt;&lt;NodeDependency ParentNodeId="23" ChildNodeId="25" ParentPosition="10"/&gt;&lt;NodeDependency ParentNodeId="24" ChildNodeId="25" ParentPosition="11"/&gt;&lt;NodeDependency ParentNodeId="13" ChildNodeId="27" ParentPosition="1"/&gt;&lt;NodeDependency ParentNodeId="25" ChildNodeId="27" ParentPosition="2"/&gt;&lt;NodeDependency ParentNodeId="26" ChildNodeId="27" ParentPosition="3"/&gt;&lt;NodeDependency ParentNodeId="12" ChildNodeId="28" ParentPosition="1"/&gt;&lt;NodeDependency ParentNodeId="27" ChildNodeId="28" ParentPosition="2"/&gt;&lt;/NodeDependencies&gt;&lt;/CodeCalculation&gt;</a:t>
          </a:r>
        </a:p>
        <a:p>
          <a:pPr algn="l"/>
          <a:endParaRPr 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660400</xdr:colOff>
      <xdr:row>0</xdr:row>
      <xdr:rowOff>63500</xdr:rowOff>
    </xdr:from>
    <xdr:to>
      <xdr:col>17</xdr:col>
      <xdr:colOff>222250</xdr:colOff>
      <xdr:row>2</xdr:row>
      <xdr:rowOff>139700</xdr:rowOff>
    </xdr:to>
    <xdr:sp macro="" textlink="">
      <xdr:nvSpPr>
        <xdr:cNvPr id="2" name="Rectangle 1">
          <a:extLst>
            <a:ext uri="{FF2B5EF4-FFF2-40B4-BE49-F238E27FC236}">
              <a16:creationId xmlns:a16="http://schemas.microsoft.com/office/drawing/2014/main" id="{EAF23664-73CE-464D-8A8D-92B223672B5B}"/>
            </a:ext>
          </a:extLst>
        </xdr:cNvPr>
        <xdr:cNvSpPr/>
      </xdr:nvSpPr>
      <xdr:spPr>
        <a:xfrm>
          <a:off x="1270000" y="63500"/>
          <a:ext cx="11080750" cy="44450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&lt;CodeCalculation Name="singleCriteriaInexactSafe" Version="4" AppliesTo="All except skip" HasMultipleOutputs="0"&gt;&lt;Inputs&gt;&lt;Input InputId="1" Name="criteria" Type="0"/&gt;&lt;/Inputs&gt;&lt;InputDependencies&gt;&lt;InputDependency InputId="1" NodeId="1"/&gt;&lt;/InputDependencies&gt;&lt;TestCases&gt;&lt;TestCase&gt;&lt;InputValue Type="0" Value="a"/&gt;&lt;OutputValue Type="0" Value="lemon"/&gt;&lt;/TestCase&gt;&lt;TestCase&gt;&lt;InputValue Type="0" Value="b"/&gt;&lt;OutputValue Type="0" Value="lemon"/&gt;&lt;/TestCase&gt;&lt;TestCase&gt;&lt;InputValue Type="0" Value="c"/&gt;&lt;OutputValue Type="0" Value="apple"/&gt;&lt;/TestCase&gt;&lt;TestCase&gt;&lt;InputValue Type="0" Value="d"/&gt;&lt;OutputValue Type="0" Value="apple"/&gt;&lt;/TestCase&gt;&lt;TestCase&gt;&lt;InputValue Type="0" Value="e"/&gt;&lt;OutputValue Type="0" Value="orange"/&gt;&lt;/TestCase&gt;&lt;TestCase&gt;&lt;InputValue Type="0" Value="f"/&gt;&lt;OutputValue Type="0" Value="banana"/&gt;&lt;/TestCase&gt;&lt;TestCase&gt;&lt;InputValue Type="0" Value="g"/&gt;&lt;OutputValue Type="0" Value="banana"/&gt;&lt;/TestCase&gt;&lt;TestCase&gt;&lt;InputValue Type="0" Value="h"/&gt;&lt;OutputValue Type="0" Value="pineapple"/&gt;&lt;/TestCase&gt;&lt;TestCase&gt;&lt;InputValue Type="0" Value="i"/&gt;&lt;OutputValue Type="0" Value="carrot"/&gt;&lt;/TestCase&gt;&lt;TestCase&gt;&lt;InputValue Type="0" Value="j"/&gt;&lt;OutputValue Type="0" Value="carrot"/&gt;&lt;/TestCase&gt;&lt;TestCase&gt;&lt;InputValue Type="0" Value="k"/&gt;&lt;OutputValue Type="0" Value="eggplant"/&gt;&lt;/TestCase&gt;&lt;TestCase&gt;&lt;InputValue Type="0" Value="l"/&gt;&lt;OutputValue Type="0" Value="tomato"/&gt;&lt;/TestCase&gt;&lt;TestCase&gt;&lt;InputValue Type="0" Value="m"/&gt;&lt;OutputValue Type="0" Value="tomato"/&gt;&lt;/TestCase&gt;&lt;TestCase&gt;&lt;InputValue Type="0" Value="n"/&gt;&lt;OutputValue Type="0" Value="tomato"/&gt;&lt;/TestCase&gt;&lt;TestCase&gt;&lt;InputValue Type="0" Value="o"/&gt;&lt;OutputValue Type="0" Value="asparagus"/&gt;&lt;/TestCase&gt;&lt;TestCase&gt;&lt;InputValue Type="0" Value="p"/&gt;&lt;OutputValue Type="0" Value="asparagus"/&gt;&lt;/TestCase&gt;&lt;TestCase&gt;&lt;InputValue Type="0" Value="A"/&gt;&lt;OutputValue Type="0" Value="lemon"/&gt;&lt;/TestCase&gt;&lt;TestCase&gt;&lt;InputValue Type="0" Value="B"/&gt;&lt;OutputValue Type="0" Value="lemon"/&gt;&lt;/TestCase&gt;&lt;TestCase&gt;&lt;InputValue Type="0" Value="C"/&gt;&lt;OutputValue Type="0" Value="apple"/&gt;&lt;/TestCase&gt;&lt;TestCase&gt;&lt;InputValue Type="0" Value="D"/&gt;&lt;OutputValue Type="0" Value="apple"/&gt;&lt;/TestCase&gt;&lt;TestCase&gt;&lt;InputValue Type="0" Value="E"/&gt;&lt;OutputValue Type="0" Value="orange"/&gt;&lt;/TestCase&gt;&lt;TestCase&gt;&lt;InputValue Type="0" Value="F"/&gt;&lt;OutputValue Type="0" Value="banana"/&gt;&lt;/TestCase&gt;&lt;TestCase&gt;&lt;InputValue Type="0" Value="G"/&gt;&lt;OutputValue Type="0" Value="banana"/&gt;&lt;/TestCase&gt;&lt;TestCase&gt;&lt;InputValue Type="0" Value="H"/&gt;&lt;OutputValue Type="0" Value="pineapple"/&gt;&lt;/TestCase&gt;&lt;TestCase&gt;&lt;InputValue Type="0" Value="I"/&gt;&lt;OutputValue Type="0" Value="carrot"/&gt;&lt;/TestCase&gt;&lt;TestCase&gt;&lt;InputValue Type="0" Value="J"/&gt;&lt;OutputValue Type="0" Value="carrot"/&gt;&lt;/TestCase&gt;&lt;TestCase&gt;&lt;InputValue Type="0" Value="K"/&gt;&lt;OutputValue Type="0" Value="eggplant"/&gt;&lt;/TestCase&gt;&lt;TestCase&gt;&lt;InputValue Type="0" Value="L"/&gt;&lt;OutputValue Type="0" Value="tomato"/&gt;&lt;/TestCase&gt;&lt;TestCase&gt;&lt;InputValue Type="0" Value="M"/&gt;&lt;OutputValue Type="0" Value="tomato"/&gt;&lt;/TestCase&gt;&lt;TestCase&gt;&lt;InputValue Type="0" Value="N"/&gt;&lt;OutputValue Type="0" Value="tomato"/&gt;&lt;/TestCase&gt;&lt;TestCase&gt;&lt;InputValue Type="0" Value="O"/&gt;&lt;OutputValue Type="0" Value="asparagus"/&gt;&lt;/TestCase&gt;&lt;TestCase&gt;&lt;InputValue Type="0" Value="P"/&gt;&lt;OutputValue Type="0" Value="asparagus"/&gt;&lt;/TestCase&gt;&lt;TestCase&gt;&lt;InputValue Type="0" Value="Matthew"/&gt;&lt;OutputValue Type="0" Value="tomato"/&gt;&lt;/TestCase&gt;&lt;TestCase&gt;&lt;InputValue Type="0" Value="Some other weird test"/&gt;&lt;OutputValue Type="0" Value="asparagus"/&gt;&lt;/TestCase&gt;&lt;TestCase&gt;&lt;InputValue Type="1" Value="45"/&gt;&lt;OutputValue Type="0" Value="lemon"/&gt;&lt;/TestCase&gt;&lt;TestCase&gt;&lt;InputValue Type="3" Value="2/3/2023"/&gt;&lt;OutputValue Type="0" Value="lemon"/&gt;&lt;/TestCase&gt;&lt;/TestCases&gt;&lt;LangSpecs&gt;&lt;LangSpec Language="1" ProcessStub="-1" PrefixStub="0" Skip="0" DefineHelperFunction="0"/&gt;&lt;LangSpec Language="3" ProcessStub="-1" PrefixStub="0" Skip="0" DefineHelperFunction="0"/&gt;&lt;/LangSpecs&gt;&lt;FunctionNodes&gt;&lt;FunctionNode NodeId="2" Name="UPPER" HasMultipleChildren="-1"/&gt;&lt;FunctionNode NodeId="4" Name="&amp;lt;" HasMultipleChildren="0"/&gt;&lt;FunctionNode NodeId="16" Name="ARRAY" HasMultipleChildren="0"/&gt;&lt;FunctionNode NodeId="27" Name="ARRAY" HasMultipleChildren="0"/&gt;&lt;FunctionNode NodeId="29" Name="MATCH" HasMultipleChildren="0"/&gt;&lt;FunctionNode NodeId="30" Name="INDEX" HasMultipleChildren="0"/&gt;&lt;FunctionNode NodeId="31" Name="IF" HasMultipleChildren="0"/&gt;&lt;/FunctionNodes&gt;&lt;ConstantNodes&gt;&lt;ConstantNode NodeId="3" Type="0" Value="B" HasMultipleChildren="-1"/&gt;&lt;ConstantNode NodeId="5" Type="0" Value="lemon" HasMultipleChildren="-1"/&gt;&lt;ConstantNode NodeId="6" Type="1" Value="9" HasMultipleChildren="0"/&gt;&lt;ConstantNode NodeId="7" Type="1" Value="1" HasMultipleChildren="0"/&gt;&lt;ConstantNode NodeId="8" Type="0" Value="apple" HasMultipleChildren="0"/&gt;&lt;ConstantNode NodeId="9" Type="0" Value="orange" HasMultipleChildren="0"/&gt;&lt;ConstantNode NodeId="10" Type="0" Value="banana" HasMultipleChildren="0"/&gt;&lt;ConstantNode NodeId="11" Type="0" Value="pineapple" HasMultipleChildren="0"/&gt;&lt;ConstantNode NodeId="12" Type="0" Value="carrot" HasMultipleChildren="0"/&gt;&lt;ConstantNode NodeId="13" Type="0" Value="eggplant" HasMultipleChildren="0"/&gt;&lt;ConstantNode NodeId="14" Type="0" Value="tomato" HasMultipleChildren="0"/&gt;&lt;ConstantNode NodeId="15" Type="0" Value="asparagus" HasMultipleChildren="0"/&gt;&lt;ConstantNode NodeId="17" Type="1" Value="9" HasMultipleChildren="0"/&gt;&lt;ConstantNode NodeId="18" Type="1" Value="1" HasMultipleChildren="0"/&gt;&lt;ConstantNode NodeId="19" Type="0" Value="C" HasMultipleChildren="0"/&gt;&lt;ConstantNode NodeId="20" Type="0" Value="E" HasMultipleChildren="0"/&gt;&lt;ConstantNode NodeId="21" Type="0" Value="F" HasMultipleChildren="0"/&gt;&lt;ConstantNode NodeId="22" Type="0" Value="H" HasMultipleChildren="0"/&gt;&lt;ConstantNode NodeId="23" Type="0" Value="I" HasMultipleChildren="0"/&gt;&lt;ConstantNode NodeId="24" Type="0" Value="K" HasMultipleChildren="0"/&gt;&lt;ConstantNode NodeId="25" Type="0" Value="L" HasMultipleChildren="0"/&gt;&lt;ConstantNode NodeId="26" Type="0" Value="O" HasMultipleChildren="0"/&gt;&lt;ConstantNode NodeId="28" Type="1" Value="1" HasMultipleChildren="0"/&gt;&lt;/ConstantNodes&gt;&lt;NamedNodes&gt;&lt;NamedNode NodeId="2" NameLevel="10" Name="C11"/&gt;&lt;NamedNode NodeId="16" NameLevel="10" Name="K7:K15"/&gt;&lt;NamedNode NodeId="16" NameLevel="100" Name="singleCriteriaTableC[answer2]"/&gt;&lt;NamedNode NodeId="27" NameLevel="10" Name="J7:J15"/&gt;&lt;NamedNode NodeId="27" NameLevel="100" Name="singleCriteriaTableC[criteria]"/&gt;&lt;/NamedNodes&gt;&lt;NodeComments/&gt;&lt;Outputs&gt;&lt;Output Id="1" Name="singleCriteriaInexactSafe" Type="0" NodeId="31"/&gt;&lt;/Outputs&gt;&lt;NodeDependencies&gt;&lt;NodeDependency ParentNodeId="1" ChildNodeId="2" ParentPosition="1"/&gt;&lt;NodeDependency ParentNodeId="2" ChildNodeId="4" ParentPosition="1"/&gt;&lt;NodeDependency ParentNodeId="3" ChildNodeId="4" ParentPosition="2"/&gt;&lt;NodeDependency ParentNodeId="6" ChildNodeId="16" ParentPosition="1"/&gt;&lt;NodeDependency ParentNodeId="7" ChildNodeId="16" ParentPosition="2"/&gt;&lt;NodeDependency ParentNodeId="5" ChildNodeId="16" ParentPosition="3"/&gt;&lt;NodeDependency ParentNodeId="8" ChildNodeId="16" ParentPosition="4"/&gt;&lt;NodeDependency ParentNodeId="9" ChildNodeId="16" ParentPosition="5"/&gt;&lt;NodeDependency ParentNodeId="10" ChildNodeId="16" ParentPosition="6"/&gt;&lt;NodeDependency ParentNodeId="11" ChildNodeId="16" ParentPosition="7"/&gt;&lt;NodeDependency ParentNodeId="12" ChildNodeId="16" ParentPosition="8"/&gt;&lt;NodeDependency ParentNodeId="13" ChildNodeId="16" ParentPosition="9"/&gt;&lt;NodeDependency ParentNodeId="14" ChildNodeId="16" ParentPosition="10"/&gt;&lt;NodeDependency ParentNodeId="15" ChildNodeId="16" ParentPosition="11"/&gt;&lt;NodeDependency ParentNodeId="17" ChildNodeId="27" ParentPosition="1"/&gt;&lt;NodeDependency ParentNodeId="18" ChildNodeId="27" ParentPosition="2"/&gt;&lt;NodeDependency ParentNodeId="3" ChildNodeId="27" ParentPosition="3"/&gt;&lt;NodeDependency ParentNodeId="19" ChildNodeId="27" ParentPosition="4"/&gt;&lt;NodeDependency ParentNodeId="20" ChildNodeId="27" ParentPosition="5"/&gt;&lt;NodeDependency ParentNodeId="21" ChildNodeId="27" ParentPosition="6"/&gt;&lt;NodeDependency ParentNodeId="22" ChildNodeId="27" ParentPosition="7"/&gt;&lt;NodeDependency ParentNodeId="23" ChildNodeId="27" ParentPosition="8"/&gt;&lt;NodeDependency ParentNodeId="24" ChildNodeId="27" ParentPosition="9"/&gt;&lt;NodeDependency ParentNodeId="25" ChildNodeId="27" ParentPosition="10"/&gt;&lt;NodeDependency ParentNodeId="26" ChildNodeId="27" ParentPosition="11"/&gt;&lt;NodeDependency ParentNodeId="2" ChildNodeId="29" ParentPosition="1"/&gt;&lt;NodeDependency ParentNodeId="27" ChildNodeId="29" ParentPosition="2"/&gt;&lt;NodeDependency ParentNodeId="28" ChildNodeId="29" ParentPosition="3"/&gt;&lt;NodeDependency ParentNodeId="16" ChildNodeId="30" ParentPosition="1"/&gt;&lt;NodeDependency ParentNodeId="29" ChildNodeId="30" ParentPosition="2"/&gt;&lt;NodeDependency ParentNodeId="4" ChildNodeId="31" ParentPosition="1"/&gt;&lt;NodeDependency ParentNodeId="5" ChildNodeId="31" ParentPosition="2"/&gt;&lt;NodeDependency ParentNodeId="30" ChildNodeId="31" ParentPosition="3"/&gt;&lt;/NodeDependencies&gt;&lt;/CodeCalculation&gt;</a:t>
          </a:r>
        </a:p>
        <a:p>
          <a:pPr algn="l"/>
          <a:endParaRPr lang="en-US" sz="1100"/>
        </a:p>
      </xdr:txBody>
    </xdr:sp>
    <xdr:clientData/>
  </xdr:twoCellAnchor>
  <xdr:twoCellAnchor>
    <xdr:from>
      <xdr:col>11</xdr:col>
      <xdr:colOff>323850</xdr:colOff>
      <xdr:row>6</xdr:row>
      <xdr:rowOff>57150</xdr:rowOff>
    </xdr:from>
    <xdr:to>
      <xdr:col>17</xdr:col>
      <xdr:colOff>571500</xdr:colOff>
      <xdr:row>24</xdr:row>
      <xdr:rowOff>69850</xdr:rowOff>
    </xdr:to>
    <xdr:sp macro="" textlink="">
      <xdr:nvSpPr>
        <xdr:cNvPr id="3" name="TextBox 2">
          <a:extLst>
            <a:ext uri="{FF2B5EF4-FFF2-40B4-BE49-F238E27FC236}">
              <a16:creationId xmlns:a16="http://schemas.microsoft.com/office/drawing/2014/main" id="{B37F6884-C643-54B7-FFF3-C42C41EBE404}"/>
            </a:ext>
          </a:extLst>
        </xdr:cNvPr>
        <xdr:cNvSpPr txBox="1"/>
      </xdr:nvSpPr>
      <xdr:spPr>
        <a:xfrm>
          <a:off x="9093200" y="609600"/>
          <a:ext cx="4095750" cy="3327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SpreadsheetCoder is designed to keep the code simple, leaving it up to you to add this type of extra safety feature</a:t>
          </a:r>
          <a:r>
            <a:rPr lang="en-US" sz="1100" baseline="0"/>
            <a:t> where needed.</a:t>
          </a:r>
          <a:endParaRPr lang="en-US" sz="1100"/>
        </a:p>
        <a:p>
          <a:endParaRPr lang="en-US" sz="1100"/>
        </a:p>
        <a:p>
          <a:r>
            <a:rPr lang="en-US" sz="1100"/>
            <a:t>To get the best results, tailor your Excel logic for</a:t>
          </a:r>
          <a:r>
            <a:rPr lang="en-US" sz="1100" baseline="0"/>
            <a:t> </a:t>
          </a:r>
          <a:r>
            <a:rPr lang="en-US" sz="1100"/>
            <a:t>SpreadsheetCoder. This</a:t>
          </a:r>
          <a:r>
            <a:rPr lang="en-US" sz="1100" baseline="0"/>
            <a:t> is a good example, </a:t>
          </a:r>
          <a:r>
            <a:rPr lang="en-US" sz="1100"/>
            <a:t>if you're converting Excel lookups to a language that is case-sensitive, make sure all your text cases match. In this case that is</a:t>
          </a:r>
          <a:r>
            <a:rPr lang="en-US" sz="1100" baseline="0"/>
            <a:t> done by </a:t>
          </a:r>
          <a:r>
            <a:rPr lang="en-US" sz="1100"/>
            <a:t>making everything uppercase in the table criteria and having the input converted to uppercase</a:t>
          </a:r>
          <a:r>
            <a:rPr lang="en-US" sz="1100" baseline="0"/>
            <a:t>. </a:t>
          </a:r>
        </a:p>
        <a:p>
          <a:endParaRPr lang="en-US" sz="1100" baseline="0"/>
        </a:p>
        <a:p>
          <a:r>
            <a:rPr lang="en-US" sz="1100"/>
            <a:t>Sometimes, you might not have any input; in that case, just ensure that the text cases match within your logic. Or you may be</a:t>
          </a:r>
          <a:r>
            <a:rPr lang="en-US" sz="1100" baseline="0"/>
            <a:t> getting the input not from the user directly but from another process and you can ensure that process hands off the input in the case expected.</a:t>
          </a:r>
        </a:p>
        <a:p>
          <a:endParaRPr lang="en-US" sz="1100" baseline="0"/>
        </a:p>
        <a:p>
          <a:r>
            <a:rPr lang="en-US" sz="1100"/>
            <a:t>SpreadsheetCoder requires you</a:t>
          </a:r>
          <a:r>
            <a:rPr lang="en-US" sz="1100" baseline="0"/>
            <a:t> to implement these types of checks where wanted to avoid </a:t>
          </a:r>
          <a:r>
            <a:rPr lang="en-US" sz="1100"/>
            <a:t>adding unnecessary code to your translated functions</a:t>
          </a:r>
          <a:r>
            <a:rPr lang="en-US" sz="1100" baseline="0"/>
            <a:t> where they are not needed.</a:t>
          </a:r>
          <a:endParaRPr lang="en-US" sz="1100"/>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xdr:col>
      <xdr:colOff>660400</xdr:colOff>
      <xdr:row>0</xdr:row>
      <xdr:rowOff>63500</xdr:rowOff>
    </xdr:from>
    <xdr:to>
      <xdr:col>17</xdr:col>
      <xdr:colOff>222250</xdr:colOff>
      <xdr:row>2</xdr:row>
      <xdr:rowOff>139700</xdr:rowOff>
    </xdr:to>
    <xdr:sp macro="" textlink="">
      <xdr:nvSpPr>
        <xdr:cNvPr id="2" name="Rectangle 1">
          <a:extLst>
            <a:ext uri="{FF2B5EF4-FFF2-40B4-BE49-F238E27FC236}">
              <a16:creationId xmlns:a16="http://schemas.microsoft.com/office/drawing/2014/main" id="{DFAA3A86-275F-D950-F57A-3666782A1580}"/>
            </a:ext>
          </a:extLst>
        </xdr:cNvPr>
        <xdr:cNvSpPr/>
      </xdr:nvSpPr>
      <xdr:spPr>
        <a:xfrm>
          <a:off x="1270000" y="63500"/>
          <a:ext cx="10160000" cy="44450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&lt;CodeCalculation Name="singleCriteriaExact" Version="4" AppliesTo="All except skip" HasMultipleOutputs="0"&gt;&lt;Inputs&gt;&lt;Input InputId="1" Name="criteria" Type="0"/&gt;&lt;/Inputs&gt;&lt;InputDependencies&gt;&lt;InputDependency InputId="1" NodeId="13"/&gt;&lt;/InputDependencies&gt;&lt;TestCases&gt;&lt;TestCase&gt;&lt;InputValue Type="0" Value="a"/&gt;&lt;OutputValue Type="0" Value="lemon"/&gt;&lt;/TestCase&gt;&lt;TestCase&gt;&lt;InputValue Type="0" Value="c"/&gt;&lt;OutputValue Type="0" Value="apple"/&gt;&lt;/TestCase&gt;&lt;TestCase&gt;&lt;InputValue Type="0" Value="e"/&gt;&lt;OutputValue Type="0" Value="orange"/&gt;&lt;/TestCase&gt;&lt;TestCase&gt;&lt;InputValue Type="0" Value="f"/&gt;&lt;OutputValue Type="0" Value="banana"/&gt;&lt;/TestCase&gt;&lt;TestCase&gt;&lt;InputValue Type="0" Value="h"/&gt;&lt;OutputValue Type="0" Value="pineapple"/&gt;&lt;/TestCase&gt;&lt;TestCase&gt;&lt;InputValue Type="0" Value="i"/&gt;&lt;OutputValue Type="0" Value="carrot"/&gt;&lt;/TestCase&gt;&lt;TestCase&gt;&lt;InputValue Type="0" Value="k"/&gt;&lt;OutputValue Type="0" Value="eggplant"/&gt;&lt;/TestCase&gt;&lt;TestCase&gt;&lt;InputValue Type="0" Value="l"/&gt;&lt;OutputValue Type="0" Value="tomato"/&gt;&lt;/TestCase&gt;&lt;TestCase&gt;&lt;InputValue Type="0" Value="o"/&gt;&lt;OutputValue Type="0" Value="asparagus"/&gt;&lt;/TestCase&gt;&lt;/TestCases&gt;&lt;LangSpecs&gt;&lt;LangSpec Language="1" ProcessStub="-1" PrefixStub="0" Skip="0" DefineHelperFunction="0"/&gt;&lt;LangSpec Language="3" ProcessStub="-1" PrefixStub="0" Skip="0" DefineHelperFunction="0"/&gt;&lt;/LangSpecs&gt;&lt;FunctionNodes&gt;&lt;FunctionNode NodeId="12" Name="ARRAY" HasMultipleChildren="0"/&gt;&lt;FunctionNode NodeId="25" Name="ARRAY" HasMultipleChildren="0"/&gt;&lt;FunctionNode NodeId="27" Name="MATCH" HasMultipleChildren="0"/&gt;&lt;FunctionNode NodeId="28" Name="INDEX" HasMultipleChildren="0"/&gt;&lt;/FunctionNodes&gt;&lt;ConstantNodes&gt;&lt;ConstantNode NodeId="1" Type="1" Value="9" HasMultipleChildren="0"/&gt;&lt;ConstantNode NodeId="2" Type="1" Value="1" HasMultipleChildren="0"/&gt;&lt;ConstantNode NodeId="3" Type="0" Value="lemon" HasMultipleChildren="0"/&gt;&lt;ConstantNode NodeId="4" Type="0" Value="apple" HasMultipleChildren="0"/&gt;&lt;ConstantNode NodeId="5" Type="0" Value="orange" HasMultipleChildren="0"/&gt;&lt;ConstantNode NodeId="6" Type="0" Value="banana" HasMultipleChildren="0"/&gt;&lt;ConstantNode NodeId="7" Type="0" Value="pineapple" HasMultipleChildren="0"/&gt;&lt;ConstantNode NodeId="8" Type="0" Value="carrot" HasMultipleChildren="0"/&gt;&lt;ConstantNode NodeId="9" Type="0" Value="eggplant" HasMultipleChildren="0"/&gt;&lt;ConstantNode NodeId="10" Type="0" Value="tomato" HasMultipleChildren="0"/&gt;&lt;ConstantNode NodeId="11" Type="0" Value="asparagus" HasMultipleChildren="0"/&gt;&lt;ConstantNode NodeId="14" Type="1" Value="9" HasMultipleChildren="0"/&gt;&lt;ConstantNode NodeId="15" Type="1" Value="1" HasMultipleChildren="0"/&gt;&lt;ConstantNode NodeId="16" Type="0" Value="a" HasMultipleChildren="0"/&gt;&lt;ConstantNode NodeId="17" Type="0" Value="c" HasMultipleChildren="0"/&gt;&lt;ConstantNode NodeId="18" Type="0" Value="e" HasMultipleChildren="0"/&gt;&lt;ConstantNode NodeId="19" Type="0" Value="f" HasMultipleChildren="0"/&gt;&lt;ConstantNode NodeId="20" Type="0" Value="h" HasMultipleChildren="0"/&gt;&lt;ConstantNode NodeId="21" Type="0" Value="i" HasMultipleChildren="0"/&gt;&lt;ConstantNode NodeId="22" Type="0" Value="k" HasMultipleChildren="0"/&gt;&lt;ConstantNode NodeId="23" Type="0" Value="l" HasMultipleChildren="0"/&gt;&lt;ConstantNode NodeId="24" Type="0" Value="o" HasMultipleChildren="0"/&gt;&lt;ConstantNode NodeId="26" Type="1" Value="0" HasMultipleChildren="0"/&gt;&lt;/ConstantNodes&gt;&lt;NamedNodes&gt;&lt;NamedNode NodeId="12" NameLevel="10" Name="M11:M19"/&gt;&lt;NamedNode NodeId="12" NameLevel="100" Name="singleCriteriaTableB[result]"/&gt;&lt;NamedNode NodeId="25" NameLevel="10" Name="L11:L19"/&gt;&lt;NamedNode NodeId="25" NameLevel="100" Name="singleCriteriaTableB[criteria]"/&gt;&lt;/NamedNodes&gt;&lt;NodeComments/&gt;&lt;Outputs&gt;&lt;Output Id="1" Name="singleCriteriaExact" Type="0" NodeId="28"/&gt;&lt;/Outputs&gt;&lt;NodeDependencies&gt;&lt;NodeDependency ParentNodeId="1" ChildNodeId="12" ParentPosition="1"/&gt;&lt;NodeDependency ParentNodeId="2" ChildNodeId="12" ParentPosition="2"/&gt;&lt;NodeDependency ParentNodeId="3" ChildNodeId="12" ParentPosition="3"/&gt;&lt;NodeDependency ParentNodeId="4" ChildNodeId="12" ParentPosition="4"/&gt;&lt;NodeDependency ParentNodeId="5" ChildNodeId="12" ParentPosition="5"/&gt;&lt;NodeDependency ParentNodeId="6" ChildNodeId="12" ParentPosition="6"/&gt;&lt;NodeDependency ParentNodeId="7" ChildNodeId="12" ParentPosition="7"/&gt;&lt;NodeDependency ParentNodeId="8" ChildNodeId="12" ParentPosition="8"/&gt;&lt;NodeDependency ParentNodeId="9" ChildNodeId="12" ParentPosition="9"/&gt;&lt;NodeDependency ParentNodeId="10" ChildNodeId="12" ParentPosition="10"/&gt;&lt;NodeDependency ParentNodeId="11" ChildNodeId="12" ParentPosition="11"/&gt;&lt;NodeDependency ParentNodeId="14" ChildNodeId="25" ParentPosition="1"/&gt;&lt;NodeDependency ParentNodeId="15" ChildNodeId="25" ParentPosition="2"/&gt;&lt;NodeDependency ParentNodeId="16" ChildNodeId="25" ParentPosition="3"/&gt;&lt;NodeDependency ParentNodeId="17" ChildNodeId="25" ParentPosition="4"/&gt;&lt;NodeDependency ParentNodeId="18" ChildNodeId="25" ParentPosition="5"/&gt;&lt;NodeDependency ParentNodeId="19" ChildNodeId="25" ParentPosition="6"/&gt;&lt;NodeDependency ParentNodeId="20" ChildNodeId="25" ParentPosition="7"/&gt;&lt;NodeDependency ParentNodeId="21" ChildNodeId="25" ParentPosition="8"/&gt;&lt;NodeDependency ParentNodeId="22" ChildNodeId="25" ParentPosition="9"/&gt;&lt;NodeDependency ParentNodeId="23" ChildNodeId="25" ParentPosition="10"/&gt;&lt;NodeDependency ParentNodeId="24" ChildNodeId="25" ParentPosition="11"/&gt;&lt;NodeDependency ParentNodeId="13" ChildNodeId="27" ParentPosition="1"/&gt;&lt;NodeDependency ParentNodeId="25" ChildNodeId="27" ParentPosition="2"/&gt;&lt;NodeDependency ParentNodeId="26" ChildNodeId="27" ParentPosition="3"/&gt;&lt;NodeDependency ParentNodeId="12" ChildNodeId="28" ParentPosition="1"/&gt;&lt;NodeDependency ParentNodeId="27" ChildNodeId="28" ParentPosition="2"/&gt;&lt;/NodeDependencies&gt;&lt;/CodeCalculation&gt;</a:t>
          </a:r>
        </a:p>
        <a:p>
          <a:pPr algn="l"/>
          <a:endParaRPr lang="en-US"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xdr:col>
      <xdr:colOff>660400</xdr:colOff>
      <xdr:row>0</xdr:row>
      <xdr:rowOff>63500</xdr:rowOff>
    </xdr:from>
    <xdr:to>
      <xdr:col>17</xdr:col>
      <xdr:colOff>222250</xdr:colOff>
      <xdr:row>2</xdr:row>
      <xdr:rowOff>139700</xdr:rowOff>
    </xdr:to>
    <xdr:sp macro="" textlink="">
      <xdr:nvSpPr>
        <xdr:cNvPr id="2" name="Rectangle 1">
          <a:extLst>
            <a:ext uri="{FF2B5EF4-FFF2-40B4-BE49-F238E27FC236}">
              <a16:creationId xmlns:a16="http://schemas.microsoft.com/office/drawing/2014/main" id="{E8D9521E-B4D9-4FEB-8AA1-BAADB4725391}"/>
            </a:ext>
          </a:extLst>
        </xdr:cNvPr>
        <xdr:cNvSpPr/>
      </xdr:nvSpPr>
      <xdr:spPr>
        <a:xfrm>
          <a:off x="1270000" y="63500"/>
          <a:ext cx="11614150" cy="44450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&lt;CodeCalculation Name="singleCriteriaExactSafe" Version="4" AppliesTo="All except skip" HasMultipleOutputs="0"&gt;&lt;Inputs&gt;&lt;Input InputId="1" Name="criteria" Type="0"/&gt;&lt;/Inputs&gt;&lt;InputDependencies&gt;&lt;InputDependency InputId="1" NodeId="13"/&gt;&lt;/InputDependencies&gt;&lt;TestCases&gt;&lt;TestCase&gt;&lt;InputValue Type="0" Value="a"/&gt;&lt;OutputValue Type="0" Value="lemon"/&gt;&lt;/TestCase&gt;&lt;TestCase&gt;&lt;InputValue Type="0" Value="b"/&gt;&lt;OutputValue Type="0" Value="Not Found"/&gt;&lt;/TestCase&gt;&lt;TestCase&gt;&lt;InputValue Type="0" Value="c"/&gt;&lt;OutputValue Type="0" Value="apple"/&gt;&lt;/TestCase&gt;&lt;TestCase&gt;&lt;InputValue Type="0" Value="d"/&gt;&lt;OutputValue Type="0" Value="Not Found"/&gt;&lt;/TestCase&gt;&lt;TestCase&gt;&lt;InputValue Type="0" Value="e"/&gt;&lt;OutputValue Type="0" Value="orange"/&gt;&lt;/TestCase&gt;&lt;TestCase&gt;&lt;InputValue Type="0" Value="f"/&gt;&lt;OutputValue Type="0" Value="banana"/&gt;&lt;/TestCase&gt;&lt;TestCase&gt;&lt;InputValue Type="0" Value="g"/&gt;&lt;OutputValue Type="0" Value="Not Found"/&gt;&lt;/TestCase&gt;&lt;TestCase&gt;&lt;InputValue Type="0" Value="h"/&gt;&lt;OutputValue Type="0" Value="pineapple"/&gt;&lt;/TestCase&gt;&lt;TestCase&gt;&lt;InputValue Type="0" Value="i"/&gt;&lt;OutputValue Type="0" Value="carrot"/&gt;&lt;/TestCase&gt;&lt;TestCase&gt;&lt;InputValue Type="0" Value="j"/&gt;&lt;OutputValue Type="0" Value="Not Found"/&gt;&lt;/TestCase&gt;&lt;TestCase&gt;&lt;InputValue Type="0" Value="k"/&gt;&lt;OutputValue Type="0" Value="eggplant"/&gt;&lt;/TestCase&gt;&lt;TestCase&gt;&lt;InputValue Type="0" Value="l"/&gt;&lt;OutputValue Type="0" Value="tomato"/&gt;&lt;/TestCase&gt;&lt;TestCase&gt;&lt;InputValue Type="0" Value="m"/&gt;&lt;OutputValue Type="0" Value="Not Found"/&gt;&lt;/TestCase&gt;&lt;TestCase&gt;&lt;InputValue Type="0" Value="n"/&gt;&lt;OutputValue Type="0" Value="Not Found"/&gt;&lt;/TestCase&gt;&lt;TestCase&gt;&lt;InputValue Type="0" Value="o"/&gt;&lt;OutputValue Type="0" Value="asparagus"/&gt;&lt;/TestCase&gt;&lt;TestCase&gt;&lt;InputValue Type="0" Value="p"/&gt;&lt;OutputValue Type="0" Value="Not Found"/&gt;&lt;/TestCase&gt;&lt;TestCase&gt;&lt;InputValue Type="0" Value="Matthew"/&gt;&lt;OutputValue Type="0" Value="Not Found"/&gt;&lt;/TestCase&gt;&lt;TestCase&gt;&lt;InputValue Type="1" Value="123"/&gt;&lt;OutputValue Type="0" Value="Not Found"/&gt;&lt;/TestCase&gt;&lt;/TestCases&gt;&lt;LangSpecs&gt;&lt;LangSpec Language="1" ProcessStub="-1" PrefixStub="0" Skip="0" DefineHelperFunction="0"/&gt;&lt;LangSpec Language="3" ProcessStub="-1" PrefixStub="0" Skip="0" DefineHelperFunction="0"/&gt;&lt;/LangSpecs&gt;&lt;FunctionNodes&gt;&lt;FunctionNode NodeId="12" Name="ARRAY" HasMultipleChildren="-1"/&gt;&lt;FunctionNode NodeId="14" Name="UPPER" HasMultipleChildren="-1"/&gt;&lt;FunctionNode NodeId="15" Name="COUNTIF" HasMultipleChildren="0"/&gt;&lt;FunctionNode NodeId="27" Name="ARRAY" HasMultipleChildren="0"/&gt;&lt;FunctionNode NodeId="29" Name="MATCH" HasMultipleChildren="0"/&gt;&lt;FunctionNode NodeId="30" Name="INDEX" HasMultipleChildren="0"/&gt;&lt;FunctionNode NodeId="32" Name="IF" HasMultipleChildren="0"/&gt;&lt;/FunctionNodes&gt;&lt;ConstantNodes&gt;&lt;ConstantNode NodeId="1" Type="1" Value="9" HasMultipleChildren="0"/&gt;&lt;ConstantNode NodeId="2" Type="1" Value="1" HasMultipleChildren="0"/&gt;&lt;ConstantNode NodeId="3" Type="0" Value="A" HasMultipleChildren="0"/&gt;&lt;ConstantNode NodeId="4" Type="0" Value="C" HasMultipleChildren="0"/&gt;&lt;ConstantNode NodeId="5" Type="0" Value="E" HasMultipleChildren="0"/&gt;&lt;ConstantNode NodeId="6" Type="0" Value="F" HasMultipleChildren="0"/&gt;&lt;ConstantNode NodeId="7" Type="0" Value="H" HasMultipleChildren="0"/&gt;&lt;ConstantNode NodeId="8" Type="0" Value="I" HasMultipleChildren="0"/&gt;&lt;ConstantNode NodeId="9" Type="0" Value="K" HasMultipleChildren="0"/&gt;&lt;ConstantNode NodeId="10" Type="0" Value="L" HasMultipleChildren="0"/&gt;&lt;ConstantNode NodeId="11" Type="0" Value="O" HasMultipleChildren="0"/&gt;&lt;ConstantNode NodeId="16" Type="1" Value="9" HasMultipleChildren="0"/&gt;&lt;ConstantNode NodeId="17" Type="1" Value="1" HasMultipleChildren="0"/&gt;&lt;ConstantNode NodeId="18" Type="0" Value="lemon" HasMultipleChildren="0"/&gt;&lt;ConstantNode NodeId="19" Type="0" Value="apple" HasMultipleChildren="0"/&gt;&lt;ConstantNode NodeId="20" Type="0" Value="orange" HasMultipleChildren="0"/&gt;&lt;ConstantNode NodeId="21" Type="0" Value="banana" HasMultipleChildren="0"/&gt;&lt;ConstantNode NodeId="22" Type="0" Value="pineapple" HasMultipleChildren="0"/&gt;&lt;ConstantNode NodeId="23" Type="0" Value="carrot" HasMultipleChildren="0"/&gt;&lt;ConstantNode NodeId="24" Type="0" Value="eggplant" HasMultipleChildren="0"/&gt;&lt;ConstantNode NodeId="25" Type="0" Value="tomato" HasMultipleChildren="0"/&gt;&lt;ConstantNode NodeId="26" Type="0" Value="asparagus" HasMultipleChildren="0"/&gt;&lt;ConstantNode NodeId="28" Type="1" Value="0" HasMultipleChildren="0"/&gt;&lt;ConstantNode NodeId="31" Type="0" Value="Not Found" HasMultipleChildren="0"/&gt;&lt;/ConstantNodes&gt;&lt;NamedNodes&gt;&lt;NamedNode NodeId="12" NameLevel="10" Name="L10:L18"/&gt;&lt;NamedNode NodeId="12" NameLevel="100" Name="SingleCriteriaExactTable[criteria]"/&gt;&lt;NamedNode NodeId="14" NameLevel="10" Name="C12"/&gt;&lt;NamedNode NodeId="15" NameLevel="10" Name="C13"/&gt;&lt;NamedNode NodeId="27" NameLevel="10" Name="M10:M18"/&gt;&lt;NamedNode NodeId="27" NameLevel="100" Name="SingleCriteriaExactTable[result]"/&gt;&lt;/NamedNodes&gt;&lt;NodeComments/&gt;&lt;Outputs&gt;&lt;Output Id="1" Name="singleCriteriaExactSafe" Type="0" NodeId="32"/&gt;&lt;/Outputs&gt;&lt;NodeDependencies&gt;&lt;NodeDependency ParentNodeId="1" ChildNodeId="12" ParentPosition="1"/&gt;&lt;NodeDependency ParentNodeId="2" ChildNodeId="12" ParentPosition="2"/&gt;&lt;NodeDependency ParentNodeId="3" ChildNodeId="12" ParentPosition="3"/&gt;&lt;NodeDependency ParentNodeId="4" ChildNodeId="12" ParentPosition="4"/&gt;&lt;NodeDependency ParentNodeId="5" ChildNodeId="12" ParentPosition="5"/&gt;&lt;NodeDependency ParentNodeId="6" ChildNodeId="12" ParentPosition="6"/&gt;&lt;NodeDependency ParentNodeId="7" ChildNodeId="12" ParentPosition="7"/&gt;&lt;NodeDependency ParentNodeId="8" ChildNodeId="12" ParentPosition="8"/&gt;&lt;NodeDependency ParentNodeId="9" ChildNodeId="12" ParentPosition="9"/&gt;&lt;NodeDependency ParentNodeId="10" ChildNodeId="12" ParentPosition="10"/&gt;&lt;NodeDependency ParentNodeId="11" ChildNodeId="12" ParentPosition="11"/&gt;&lt;NodeDependency ParentNodeId="13" ChildNodeId="14" ParentPosition="1"/&gt;&lt;NodeDependency ParentNodeId="12" ChildNodeId="15" ParentPosition="1"/&gt;&lt;NodeDependency ParentNodeId="14" ChildNodeId="15" ParentPosition="2"/&gt;&lt;NodeDependency ParentNodeId="16" ChildNodeId="27" ParentPosition="1"/&gt;&lt;NodeDependency ParentNodeId="17" ChildNodeId="27" ParentPosition="2"/&gt;&lt;NodeDependency ParentNodeId="18" ChildNodeId="27" ParentPosition="3"/&gt;&lt;NodeDependency ParentNodeId="19" ChildNodeId="27" ParentPosition="4"/&gt;&lt;NodeDependency ParentNodeId="20" ChildNodeId="27" ParentPosition="5"/&gt;&lt;NodeDependency ParentNodeId="21" ChildNodeId="27" ParentPosition="6"/&gt;&lt;NodeDependency ParentNodeId="22" ChildNodeId="27" ParentPosition="7"/&gt;&lt;NodeDependency ParentNodeId="23" ChildNodeId="27" ParentPosition="8"/&gt;&lt;NodeDependency ParentNodeId="24" ChildNodeId="27" ParentPosition="9"/&gt;&lt;NodeDependency ParentNodeId="25" ChildNodeId="27" ParentPosition="10"/&gt;&lt;NodeDependency ParentNodeId="26" ChildNodeId="27" ParentPosition="11"/&gt;&lt;NodeDependency ParentNodeId="14" ChildNodeId="29" ParentPosition="1"/&gt;&lt;NodeDependency ParentNodeId="12" ChildNodeId="29" ParentPosition="2"/&gt;&lt;NodeDependency ParentNodeId="28" ChildNodeId="29" ParentPosition="3"/&gt;&lt;NodeDependency ParentNodeId="27" ChildNodeId="30" ParentPosition="1"/&gt;&lt;NodeDependency ParentNodeId="29" ChildNodeId="30" ParentPosition="2"/&gt;&lt;NodeDependency ParentNodeId="15" ChildNodeId="32" ParentPosition="1"/&gt;&lt;NodeDependency ParentNodeId="30" ChildNodeId="32" ParentPosition="2"/&gt;&lt;NodeDependency ParentNodeId="31" ChildNodeId="32" ParentPosition="3"/&gt;&lt;/NodeDependencies&gt;&lt;/CodeCalculation&gt;</a:t>
          </a:r>
        </a:p>
        <a:p>
          <a:pPr algn="l"/>
          <a:endParaRPr lang="en-US" sz="1100"/>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2</xdr:col>
      <xdr:colOff>50800</xdr:colOff>
      <xdr:row>0</xdr:row>
      <xdr:rowOff>63500</xdr:rowOff>
    </xdr:from>
    <xdr:to>
      <xdr:col>17</xdr:col>
      <xdr:colOff>349250</xdr:colOff>
      <xdr:row>2</xdr:row>
      <xdr:rowOff>139700</xdr:rowOff>
    </xdr:to>
    <xdr:sp macro="" textlink="">
      <xdr:nvSpPr>
        <xdr:cNvPr id="2" name="Rectangle 1">
          <a:extLst>
            <a:ext uri="{FF2B5EF4-FFF2-40B4-BE49-F238E27FC236}">
              <a16:creationId xmlns:a16="http://schemas.microsoft.com/office/drawing/2014/main" id="{9748A08E-236F-8938-160D-BB9CDFF8B673}"/>
            </a:ext>
          </a:extLst>
        </xdr:cNvPr>
        <xdr:cNvSpPr/>
      </xdr:nvSpPr>
      <xdr:spPr>
        <a:xfrm>
          <a:off x="1270000" y="63500"/>
          <a:ext cx="10160000" cy="44450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&lt;CodeCalculation Name="MultipleSingleLookups" Version="4" AppliesTo="All except skip" HasMultipleOutputs="0"&gt;&lt;Inputs&gt;&lt;Input InputId="1" Name="criteria1" Type="0"/&gt;&lt;Input InputId="2" Name="criteria2" Type="0"/&gt;&lt;Input InputId="3" Name="criteria3" Type="0"/&gt;&lt;/Inputs&gt;&lt;InputDependencies&gt;&lt;InputDependency InputId="1" NodeId="15"/&gt;&lt;InputDependency InputId="2" NodeId="31"/&gt;&lt;InputDependency InputId="3" NodeId="35"/&gt;&lt;/InputDependencies&gt;&lt;TestCases&gt;&lt;TestCase&gt;&lt;InputValue Type="0" Value="a"/&gt;&lt;InputValue Type="0" Value="e"/&gt;&lt;InputValue Type="0" Value="o"/&gt;&lt;OutputValue Type="1" Value="11"/&gt;&lt;/TestCase&gt;&lt;TestCase&gt;&lt;InputValue Type="0" Value="a"/&gt;&lt;InputValue Type="0" Value="e"/&gt;&lt;InputValue Type="0" Value="e"/&gt;&lt;OutputValue Type="1" Value="9"/&gt;&lt;/TestCase&gt;&lt;TestCase&gt;&lt;InputValue Type="0" Value="a"/&gt;&lt;InputValue Type="0" Value="e"/&gt;&lt;InputValue Type="0" Value="l"/&gt;&lt;OutputValue Type="1" Value="10"/&gt;&lt;/TestCase&gt;&lt;TestCase&gt;&lt;InputValue Type="0" Value="a"/&gt;&lt;InputValue Type="0" Value="k"/&gt;&lt;InputValue Type="0" Value="o"/&gt;&lt;OutputValue Type="1" Value="10"/&gt;&lt;/TestCase&gt;&lt;TestCase&gt;&lt;InputValue Type="0" Value="a"/&gt;&lt;InputValue Type="0" Value="k"/&gt;&lt;InputValue Type="0" Value="e"/&gt;&lt;OutputValue Type="1" Value="8"/&gt;&lt;/TestCase&gt;&lt;TestCase&gt;&lt;InputValue Type="0" Value="a"/&gt;&lt;InputValue Type="0" Value="k"/&gt;&lt;InputValue Type="0" Value="l"/&gt;&lt;OutputValue Type="1" Value="9"/&gt;&lt;/TestCase&gt;&lt;TestCase&gt;&lt;InputValue Type="0" Value="a"/&gt;&lt;InputValue Type="0" Value="l"/&gt;&lt;InputValue Type="0" Value="o"/&gt;&lt;OutputValue Type="1" Value="12"/&gt;&lt;/TestCase&gt;&lt;TestCase&gt;&lt;InputValue Type="0" Value="a"/&gt;&lt;InputValue Type="0" Value="l"/&gt;&lt;InputValue Type="0" Value="e"/&gt;&lt;OutputValue Type="1" Value="10"/&gt;&lt;/TestCase&gt;&lt;TestCase&gt;&lt;InputValue Type="0" Value="a"/&gt;&lt;InputValue Type="0" Value="l"/&gt;&lt;InputValue Type="0" Value="l"/&gt;&lt;OutputValue Type="1" Value="11"/&gt;&lt;/TestCase&gt;&lt;TestCase&gt;&lt;InputValue Type="0" Value="c"/&gt;&lt;InputValue Type="0" Value="e"/&gt;&lt;InputValue Type="0" Value="o"/&gt;&lt;OutputValue Type="1" Value="14"/&gt;&lt;/TestCase&gt;&lt;TestCase&gt;&lt;InputValue Type="0" Value="c"/&gt;&lt;InputValue Type="0" Value="e"/&gt;&lt;InputValue Type="0" Value="e"/&gt;&lt;OutputValue Type="1" Value="12"/&gt;&lt;/TestCase&gt;&lt;TestCase&gt;&lt;InputValue Type="0" Value="c"/&gt;&lt;InputValue Type="0" Value="e"/&gt;&lt;InputValue Type="0" Value="l"/&gt;&lt;OutputValue Type="1" Value="13"/&gt;&lt;/TestCase&gt;&lt;TestCase&gt;&lt;InputValue Type="0" Value="c"/&gt;&lt;InputValue Type="0" Value="k"/&gt;&lt;InputValue Type="0" Value="o"/&gt;&lt;OutputValue Type="1" Value="13"/&gt;&lt;/TestCase&gt;&lt;TestCase&gt;&lt;InputValue Type="0" Value="c"/&gt;&lt;InputValue Type="0" Value="k"/&gt;&lt;InputValue Type="0" Value="e"/&gt;&lt;OutputValue Type="1" Value="11"/&gt;&lt;/TestCase&gt;&lt;TestCase&gt;&lt;InputValue Type="0" Value="c"/&gt;&lt;InputValue Type="0" Value="k"/&gt;&lt;InputValue Type="0" Value="l"/&gt;&lt;OutputValue Type="1" Value="12"/&gt;&lt;/TestCase&gt;&lt;TestCase&gt;&lt;InputValue Type="0" Value="c"/&gt;&lt;InputValue Type="0" Value="l"/&gt;&lt;InputValue Type="0" Value="o"/&gt;&lt;OutputValue Type="1" Value="15"/&gt;&lt;/TestCase&gt;&lt;TestCase&gt;&lt;InputValue Type="0" Value="c"/&gt;&lt;InputValue Type="0" Value="l"/&gt;&lt;InputValue Type="0" Value="e"/&gt;&lt;OutputValue Type="1" Value="13"/&gt;&lt;/TestCase&gt;&lt;TestCase&gt;&lt;InputValue Type="0" Value="c"/&gt;&lt;InputValue Type="0" Value="l"/&gt;&lt;InputValue Type="0" Value="l"/&gt;&lt;OutputValue Type="1" Value="14"/&gt;&lt;/TestCase&gt;&lt;TestCase&gt;&lt;InputValue Type="0" Value="h"/&gt;&lt;InputValue Type="0" Value="e"/&gt;&lt;InputValue Type="0" Value="o"/&gt;&lt;OutputValue Type="1" Value="7"/&gt;&lt;/TestCase&gt;&lt;TestCase&gt;&lt;InputValue Type="0" Value="h"/&gt;&lt;InputValue Type="0" Value="e"/&gt;&lt;InputValue Type="0" Value="e"/&gt;&lt;OutputValue Type="1" Value="5"/&gt;&lt;/TestCase&gt;&lt;TestCase&gt;&lt;InputValue Type="0" Value="h"/&gt;&lt;InputValue Type="0" Value="e"/&gt;&lt;InputValue Type="0" Value="l"/&gt;&lt;OutputValue Type="1" Value="6"/&gt;&lt;/TestCase&gt;&lt;TestCase&gt;&lt;InputValue Type="0" Value="h"/&gt;&lt;InputValue Type="0" Value="k"/&gt;&lt;InputValue Type="0" Value="o"/&gt;&lt;OutputValue Type="1" Value="6"/&gt;&lt;/TestCase&gt;&lt;TestCase&gt;&lt;InputValue Type="0" Value="h"/&gt;&lt;InputValue Type="0" Value="k"/&gt;&lt;InputValue Type="0" Value="e"/&gt;&lt;OutputValue Type="1" Value="4"/&gt;&lt;/TestCase&gt;&lt;TestCase&gt;&lt;InputValue Type="0" Value="h"/&gt;&lt;InputValue Type="0" Value="k"/&gt;&lt;InputValue Type="0" Value="l"/&gt;&lt;OutputValue Type="1" Value="5"/&gt;&lt;/TestCase&gt;&lt;TestCase&gt;&lt;InputValue Type="0" Value="h"/&gt;&lt;InputValue Type="0" Value="l"/&gt;&lt;InputValue Type="0" Value="o"/&gt;&lt;OutputValue Type="1" Value="8"/&gt;&lt;/TestCase&gt;&lt;TestCase&gt;&lt;InputValue Type="0" Value="h"/&gt;&lt;InputValue Type="0" Value="l"/&gt;&lt;InputValue Type="0" Value="e"/&gt;&lt;OutputValue Type="1" Value="6"/&gt;&lt;/TestCase&gt;&lt;TestCase&gt;&lt;InputValue Type="0" Value="h"/&gt;&lt;InputValue Type="0" Value="l"/&gt;&lt;InputValue Type="0" Value="l"/&gt;&lt;OutputValue Type="1" Value="7"/&gt;&lt;/TestCase&gt;&lt;/TestCases&gt;&lt;LangSpecs&gt;&lt;LangSpec Language="1" ProcessStub="-1" PrefixStub="0" Skip="0" DefineHelperFunction="0"/&gt;&lt;LangSpec Language="3" ProcessStub="-1" PrefixStub="0" Skip="0" DefineHelperFunction="0"/&gt;&lt;/LangSpecs&gt;&lt;FunctionNodes&gt;&lt;FunctionNode NodeId="14" Name="ARRAY" HasMultipleChildren="-1"/&gt;&lt;FunctionNode NodeId="27" Name="ARRAY" HasMultipleChildren="-1"/&gt;&lt;FunctionNode NodeId="29" Name="MATCH" HasMultipleChildren="0"/&gt;&lt;FunctionNode NodeId="30" Name="INDEX" HasMultipleChildren="0"/&gt;&lt;FunctionNode NodeId="33" Name="MATCH" HasMultipleChildren="0"/&gt;&lt;FunctionNode NodeId="34" Name="INDEX" HasMultipleChildren="0"/&gt;&lt;FunctionNode NodeId="37" Name="MATCH" HasMultipleChildren="0"/&gt;&lt;FunctionNode NodeId="38" Name="INDEX" HasMultipleChildren="0"/&gt;&lt;FunctionNode NodeId="39" Name="ARRAY" HasMultipleChildren="0"/&gt;&lt;FunctionNode NodeId="40" Name="SUM" HasMultipleChildren="0"/&gt;&lt;/FunctionNodes&gt;&lt;ConstantNodes&gt;&lt;ConstantNode NodeId="1" Type="1" Value="3" HasMultipleChildren="0"/&gt;&lt;ConstantNode NodeId="2" Type="1" Value="1" HasMultipleChildren="0"/&gt;&lt;ConstantNode NodeId="3" Type="1" Value="9" HasMultipleChildren="0"/&gt;&lt;ConstantNode NodeId="4" Type="1" Value="1" HasMultipleChildren="0"/&gt;&lt;ConstantNode NodeId="5" Type="1" Value="5" HasMultipleChildren="0"/&gt;&lt;ConstantNode NodeId="6" Type="1" Value="8" HasMultipleChildren="0"/&gt;&lt;ConstantNode NodeId="7" Type="1" Value="2" HasMultipleChildren="0"/&gt;&lt;ConstantNode NodeId="8" Type="1" Value="6" HasMultipleChildren="0"/&gt;&lt;ConstantNode NodeId="9" Type="1" Value="1" HasMultipleChildren="0"/&gt;&lt;ConstantNode NodeId="10" Type="1" Value="78" HasMultipleChildren="0"/&gt;&lt;ConstantNode NodeId="11" Type="1" Value="1" HasMultipleChildren="0"/&gt;&lt;ConstantNode NodeId="12" Type="1" Value="3" HasMultipleChildren="0"/&gt;&lt;ConstantNode NodeId="13" Type="1" Value="4" HasMultipleChildren="0"/&gt;&lt;ConstantNode NodeId="16" Type="1" Value="9" HasMultipleChildren="0"/&gt;&lt;ConstantNode NodeId="17" Type="1" Value="1" HasMultipleChildren="0"/&gt;&lt;ConstantNode NodeId="18" Type="0" Value="a" HasMultipleChildren="0"/&gt;&lt;ConstantNode NodeId="19" Type="0" Value="c" HasMultipleChildren="0"/&gt;&lt;ConstantNode NodeId="20" Type="0" Value="e" HasMultipleChildren="0"/&gt;&lt;ConstantNode NodeId="21" Type="0" Value="f" HasMultipleChildren="0"/&gt;&lt;ConstantNode NodeId="22" Type="0" Value="h" HasMultipleChildren="0"/&gt;&lt;ConstantNode NodeId="23" Type="0" Value="i" HasMultipleChildren="0"/&gt;&lt;ConstantNode NodeId="24" Type="0" Value="k" HasMultipleChildren="0"/&gt;&lt;ConstantNode NodeId="25" Type="0" Value="l" HasMultipleChildren="0"/&gt;&lt;ConstantNode NodeId="26" Type="0" Value="o" HasMultipleChildren="0"/&gt;&lt;ConstantNode NodeId="28" Type="1" Value="0" HasMultipleChildren="0"/&gt;&lt;ConstantNode NodeId="32" Type="1" Value="0" HasMultipleChildren="0"/&gt;&lt;ConstantNode NodeId="36" Type="1" Value="0" HasMultipleChildren="0"/&gt;&lt;/ConstantNodes&gt;&lt;NamedNodes&gt;&lt;NamedNode NodeId="14" NameLevel="10" Name="G10:G18"/&gt;&lt;NamedNode NodeId="14" NameLevel="100" Name="MultipleLookupsTable[result]"/&gt;&lt;NamedNode NodeId="27" NameLevel="10" Name="F10:F18"/&gt;&lt;NamedNode NodeId="27" NameLevel="100" Name="MultipleLookupsTable[criteria]"/&gt;&lt;NamedNode NodeId="30" NameLevel="10" Name="C13"/&gt;&lt;NamedNode NodeId="34" NameLevel="10" Name="C14"/&gt;&lt;NamedNode NodeId="38" NameLevel="10" Name="C15"/&gt;&lt;NamedNode NodeId="39" NameLevel="10" Name="C13:C15"/&gt;&lt;/NamedNodes&gt;&lt;NodeComments/&gt;&lt;Outputs&gt;&lt;Output Id="1" Name="MultipleSingleLookups" Type="1" NodeId="40"/&gt;&lt;/Outputs&gt;&lt;NodeDependencies&gt;&lt;NodeDependency ParentNodeId="3" ChildNodeId="14" ParentPosition="1"/&gt;&lt;NodeDependency ParentNodeId="4" ChildNodeId="14" ParentPosition="2"/&gt;&lt;NodeDependency ParentNodeId="5" ChildNodeId="14" ParentPosition="3"/&gt;&lt;NodeDependency ParentNodeId="6" ChildNodeId="14" ParentPosition="4"/&gt;&lt;NodeDependency ParentNodeId="7" ChildNodeId="14" ParentPosition="5"/&gt;&lt;NodeDependency ParentNodeId="8" ChildNodeId="14" ParentPosition="6"/&gt;&lt;NodeDependency ParentNodeId="9" ChildNodeId="14" ParentPosition="7"/&gt;&lt;NodeDependency ParentNodeId="10" ChildNodeId="14" ParentPosition="8"/&gt;&lt;NodeDependency ParentNodeId="11" ChildNodeId="14" ParentPosition="9"/&gt;&lt;NodeDependency ParentNodeId="12" ChildNodeId="14" ParentPosition="10"/&gt;&lt;NodeDependency ParentNodeId="13" ChildNodeId="14" ParentPosition="11"/&gt;&lt;NodeDependency ParentNodeId="16" ChildNodeId="27" ParentPosition="1"/&gt;&lt;NodeDependency ParentNodeId="17" ChildNodeId="27" ParentPosition="2"/&gt;&lt;NodeDependency ParentNodeId="18" ChildNodeId="27" ParentPosition="3"/&gt;&lt;NodeDependency ParentNodeId="19" ChildNodeId="27" ParentPosition="4"/&gt;&lt;NodeDependency ParentNodeId="20" ChildNodeId="27" ParentPosition="5"/&gt;&lt;NodeDependency ParentNodeId="21" ChildNodeId="27" ParentPosition="6"/&gt;&lt;NodeDependency ParentNodeId="22" ChildNodeId="27" ParentPosition="7"/&gt;&lt;NodeDependency ParentNodeId="23" ChildNodeId="27" ParentPosition="8"/&gt;&lt;NodeDependency ParentNodeId="24" ChildNodeId="27" ParentPosition="9"/&gt;&lt;NodeDependency ParentNodeId="25" ChildNodeId="27" ParentPosition="10"/&gt;&lt;NodeDependency ParentNodeId="26" ChildNodeId="27" ParentPosition="11"/&gt;&lt;NodeDependency ParentNodeId="15" ChildNodeId="29" ParentPosition="1"/&gt;&lt;NodeDependency ParentNodeId="27" ChildNodeId="29" ParentPosition="2"/&gt;&lt;NodeDependency ParentNodeId="28" ChildNodeId="29" ParentPosition="3"/&gt;&lt;NodeDependency ParentNodeId="14" ChildNodeId="30" ParentPosition="1"/&gt;&lt;NodeDependency ParentNodeId="29" ChildNodeId="30" ParentPosition="2"/&gt;&lt;NodeDependency ParentNodeId="31" ChildNodeId="33" ParentPosition="1"/&gt;&lt;NodeDependency ParentNodeId="27" ChildNodeId="33" ParentPosition="2"/&gt;&lt;NodeDependency ParentNodeId="32" ChildNodeId="33" ParentPosition="3"/&gt;&lt;NodeDependency ParentNodeId="14" ChildNodeId="34" ParentPosition="1"/&gt;&lt;NodeDependency ParentNodeId="33" ChildNodeId="34" ParentPosition="2"/&gt;&lt;NodeDependency ParentNodeId="35" ChildNodeId="37" ParentPosition="1"/&gt;&lt;NodeDependency ParentNodeId="27" ChildNodeId="37" ParentPosition="2"/&gt;&lt;NodeDependency ParentNodeId="36" ChildNodeId="37" ParentPosition="3"/&gt;&lt;NodeDependency ParentNodeId="14" ChildNodeId="38" ParentPosition="1"/&gt;&lt;NodeDependency ParentNodeId="37" ChildNodeId="38" ParentPosition="2"/&gt;&lt;NodeDependency ParentNodeId="1" ChildNodeId="39" ParentPosition="1"/&gt;&lt;NodeDependency ParentNodeId="2" ChildNodeId="39" ParentPosition="2"/&gt;&lt;NodeDependency ParentNodeId="30" ChildNodeId="39" ParentPosition="3"/&gt;&lt;NodeDependency ParentNodeId="34" ChildNodeId="39" ParentPosition="4"/&gt;&lt;NodeDependency ParentNodeId="38" ChildNodeId="39" ParentPosition="5"/&gt;&lt;NodeDependency ParentNodeId="39" ChildNodeId="40" ParentPosition="1"/&gt;&lt;/NodeDependencies&gt;&lt;/CodeCalculation&gt;</a:t>
          </a:r>
        </a:p>
        <a:p>
          <a:pPr algn="l"/>
          <a:endParaRPr lang="en-US" sz="1100"/>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2</xdr:col>
      <xdr:colOff>50800</xdr:colOff>
      <xdr:row>0</xdr:row>
      <xdr:rowOff>63500</xdr:rowOff>
    </xdr:from>
    <xdr:to>
      <xdr:col>18</xdr:col>
      <xdr:colOff>266700</xdr:colOff>
      <xdr:row>2</xdr:row>
      <xdr:rowOff>139700</xdr:rowOff>
    </xdr:to>
    <xdr:sp macro="" textlink="">
      <xdr:nvSpPr>
        <xdr:cNvPr id="2" name="Rectangle 1">
          <a:extLst>
            <a:ext uri="{FF2B5EF4-FFF2-40B4-BE49-F238E27FC236}">
              <a16:creationId xmlns:a16="http://schemas.microsoft.com/office/drawing/2014/main" id="{625D104E-ABEE-452B-76D9-51F14F35AAAB}"/>
            </a:ext>
          </a:extLst>
        </xdr:cNvPr>
        <xdr:cNvSpPr/>
      </xdr:nvSpPr>
      <xdr:spPr>
        <a:xfrm>
          <a:off x="1270000" y="63500"/>
          <a:ext cx="10160000" cy="44450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&lt;CodeCalculation Name="multipleMatchLegacy" Version="4" AppliesTo="All except skip" HasMultipleOutputs="0"&gt;&lt;Inputs&gt;&lt;Input InputId="1" Name="criteria1" Type="0"/&gt;&lt;Input InputId="2" Name="criteria2" Type="0"/&gt;&lt;Input InputId="3" Name="criteria3" Type="0"/&gt;&lt;/Inputs&gt;&lt;InputDependencies&gt;&lt;InputDependency InputId="1" NodeId="24"/&gt;&lt;InputDependency InputId="2" NodeId="37"/&gt;&lt;InputDependency InputId="3" NodeId="51"/&gt;&lt;/InputDependencies&gt;&lt;TestCases&gt;&lt;TestCase&gt;&lt;InputValue Type="0" Value="a"/&gt;&lt;InputValue Type="0" Value="a"/&gt;&lt;InputValue Type="0" Value="a"/&gt;&lt;OutputValue Type="0" Value="apple"/&gt;&lt;/TestCase&gt;&lt;TestCase&gt;&lt;InputValue Type="0" Value="a"/&gt;&lt;InputValue Type="0" Value="a"/&gt;&lt;InputValue Type="0" Value="c"/&gt;&lt;OutputValue Type="0" Value="orange"/&gt;&lt;/TestCase&gt;&lt;TestCase&gt;&lt;InputValue Type="0" Value="a"/&gt;&lt;InputValue Type="0" Value="b"/&gt;&lt;InputValue Type="0" Value="a"/&gt;&lt;OutputValue Type="0" Value="banana"/&gt;&lt;/TestCase&gt;&lt;TestCase&gt;&lt;InputValue Type="0" Value="a"/&gt;&lt;InputValue Type="0" Value="b"/&gt;&lt;InputValue Type="0" Value="c"/&gt;&lt;OutputValue Type="0" Value="pineapple"/&gt;&lt;/TestCase&gt;&lt;TestCase&gt;&lt;InputValue Type="0" Value="b"/&gt;&lt;InputValue Type="0" Value="a"/&gt;&lt;InputValue Type="0" Value="a"/&gt;&lt;OutputValue Type="0" Value="carrot"/&gt;&lt;/TestCase&gt;&lt;TestCase&gt;&lt;InputValue Type="0" Value="b"/&gt;&lt;InputValue Type="0" Value="a"/&gt;&lt;InputValue Type="0" Value="c"/&gt;&lt;OutputValue Type="0" Value="eggplant"/&gt;&lt;/TestCase&gt;&lt;TestCase&gt;&lt;InputValue Type="0" Value="b"/&gt;&lt;InputValue Type="0" Value="b"/&gt;&lt;InputValue Type="0" Value="a"/&gt;&lt;OutputValue Type="0" Value="tomato"/&gt;&lt;/TestCase&gt;&lt;TestCase&gt;&lt;InputValue Type="0" Value="b"/&gt;&lt;InputValue Type="0" Value="b"/&gt;&lt;InputValue Type="0" Value="c"/&gt;&lt;OutputValue Type="0" Value="asparagus"/&gt;&lt;/TestCase&gt;&lt;/TestCases&gt;&lt;LangSpecs&gt;&lt;LangSpec Language="1" ProcessStub="-1" PrefixStub="0" Skip="0" DefineHelperFunction="0"/&gt;&lt;LangSpec Language="3" ProcessStub="-1" PrefixStub="0" Skip="0" DefineHelperFunction="0"/&gt;&lt;/LangSpecs&gt;&lt;FunctionNodes&gt;&lt;FunctionNode NodeId="11" Name="ARRAY" HasMultipleChildren="0"/&gt;&lt;FunctionNode NodeId="23" Name="ARRAY" HasMultipleChildren="0"/&gt;&lt;FunctionNode NodeId="25" Name="=" HasMultipleChildren="0"/&gt;&lt;FunctionNode NodeId="36" Name="ARRAY" HasMultipleChildren="0"/&gt;&lt;FunctionNode NodeId="38" Name="=" HasMultipleChildren="0"/&gt;&lt;FunctionNode NodeId="39" Name="*" HasMultipleChildren="0"/&gt;&lt;FunctionNode NodeId="50" Name="ARRAY" HasMultipleChildren="0"/&gt;&lt;FunctionNode NodeId="52" Name="=" HasMultipleChildren="0"/&gt;&lt;FunctionNode NodeId="53" Name="*" HasMultipleChildren="0"/&gt;&lt;FunctionNode NodeId="56" Name="INDEX" HasMultipleChildren="0"/&gt;&lt;FunctionNode NodeId="58" Name="MATCH" HasMultipleChildren="0"/&gt;&lt;FunctionNode NodeId="59" Name="INDEX" HasMultipleChildren="0"/&gt;&lt;/FunctionNodes&gt;&lt;ConstantNodes&gt;&lt;ConstantNode NodeId="1" Type="1" Value="8" HasMultipleChildren="0"/&gt;&lt;ConstantNode NodeId="2" Type="1" Value="1" HasMultipleChildren="0"/&gt;&lt;ConstantNode NodeId="3" Type="0" Value="apple" HasMultipleChildren="0"/&gt;&lt;ConstantNode NodeId="4" Type="0" Value="orange" HasMultipleChildren="0"/&gt;&lt;ConstantNode NodeId="5" Type="0" Value="banana" HasMultipleChildren="0"/&gt;&lt;ConstantNode NodeId="6" Type="0" Value="pineapple" HasMultipleChildren="0"/&gt;&lt;ConstantNode NodeId="7" Type="0" Value="carrot" HasMultipleChildren="0"/&gt;&lt;ConstantNode NodeId="8" Type="0" Value="eggplant" HasMultipleChildren="0"/&gt;&lt;ConstantNode NodeId="9" Type="0" Value="tomato" HasMultipleChildren="0"/&gt;&lt;ConstantNode NodeId="10" Type="0" Value="asparagus" HasMultipleChildren="0"/&gt;&lt;ConstantNode NodeId="12" Type="1" Value="1" HasMultipleChildren="0"/&gt;&lt;ConstantNode NodeId="13" Type="1" Value="8" HasMultipleChildren="0"/&gt;&lt;ConstantNode NodeId="14" Type="1" Value="1" HasMultipleChildren="0"/&gt;&lt;ConstantNode NodeId="15" Type="0" Value="a" HasMultipleChildren="0"/&gt;&lt;ConstantNode NodeId="16" Type="0" Value="a" HasMultipleChildren="0"/&gt;&lt;ConstantNode NodeId="17" Type="0" Value="a" HasMultipleChildren="0"/&gt;&lt;ConstantNode NodeId="18" Type="0" Value="a" HasMultipleChildren="0"/&gt;&lt;ConstantNode NodeId="19" Type="0" Value="b" HasMultipleChildren="0"/&gt;&lt;ConstantNode NodeId="20" Type="0" Value="b" HasMultipleChildren="0"/&gt;&lt;ConstantNode NodeId="21" Type="0" Value="b" HasMultipleChildren="0"/&gt;&lt;ConstantNode NodeId="22" Type="0" Value="b" HasMultipleChildren="0"/&gt;&lt;ConstantNode NodeId="26" Type="1" Value="8" HasMultipleChildren="0"/&gt;&lt;ConstantNode NodeId="27" Type="1" Value="1" HasMultipleChildren="0"/&gt;&lt;ConstantNode NodeId="28" Type="0" Value="a" HasMultipleChildren="0"/&gt;&lt;ConstantNode NodeId="29" Type="0" Value="a" HasMultipleChildren="0"/&gt;&lt;ConstantNode NodeId="30" Type="0" Value="b" HasMultipleChildren="0"/&gt;&lt;ConstantNode NodeId="31" Type="0" Value="b" HasMultipleChildren="0"/&gt;&lt;ConstantNode NodeId="32" Type="0" Value="a" HasMultipleChildren="0"/&gt;&lt;ConstantNode NodeId="33" Type="0" Value="a" HasMultipleChildren="0"/&gt;&lt;ConstantNode NodeId="34" Type="0" Value="b" HasMultipleChildren="0"/&gt;&lt;ConstantNode NodeId="35" Type="0" Value="b" HasMultipleChildren="0"/&gt;&lt;ConstantNode NodeId="40" Type="1" Value="8" HasMultipleChildren="0"/&gt;&lt;ConstantNode NodeId="41" Type="1" Value="1" HasMultipleChildren="0"/&gt;&lt;ConstantNode NodeId="42" Type="0" Value="a" HasMultipleChildren="0"/&gt;&lt;ConstantNode NodeId="43" Type="0" Value="c" HasMultipleChildren="0"/&gt;&lt;ConstantNode NodeId="44" Type="0" Value="a" HasMultipleChildren="0"/&gt;&lt;ConstantNode NodeId="45" Type="0" Value="c" HasMultipleChildren="0"/&gt;&lt;ConstantNode NodeId="46" Type="0" Value="a" HasMultipleChildren="0"/&gt;&lt;ConstantNode NodeId="47" Type="0" Value="c" HasMultipleChildren="0"/&gt;&lt;ConstantNode NodeId="48" Type="0" Value="a" HasMultipleChildren="0"/&gt;&lt;ConstantNode NodeId="49" Type="0" Value="c" HasMultipleChildren="0"/&gt;&lt;ConstantNode NodeId="54" Type="1" Value="0" HasMultipleChildren="0"/&gt;&lt;ConstantNode NodeId="55" Type="1" Value="1" HasMultipleChildren="0"/&gt;&lt;ConstantNode NodeId="57" Type="1" Value="0" HasMultipleChildren="0"/&gt;&lt;/ConstantNodes&gt;&lt;NamedNodes&gt;&lt;NamedNode NodeId="11" NameLevel="10" Name="J11:J18"/&gt;&lt;NamedNode NodeId="11" NameLevel="100" Name="multipleMatchLegacyTable[result]"/&gt;&lt;NamedNode NodeId="23" NameLevel="10" Name="G11:G18"/&gt;&lt;NamedNode NodeId="23" NameLevel="100" Name="multipleMatchLegacyTable[criteria1]"/&gt;&lt;NamedNode NodeId="36" NameLevel="10" Name="H11:H18"/&gt;&lt;NamedNode NodeId="36" NameLevel="100" Name="multipleMatchLegacyTable[criteria2]"/&gt;&lt;NamedNode NodeId="50" NameLevel="10" Name="I11:I18"/&gt;&lt;NamedNode NodeId="50" NameLevel="100" Name="multipleMatchLegacyTable[criteria3]"/&gt;&lt;/NamedNodes&gt;&lt;NodeComments/&gt;&lt;Outputs&gt;&lt;Output Id="1" Name="multipleMatchLegacy" Type="0" NodeId="59"/&gt;&lt;/Outputs&gt;&lt;NodeDependencies&gt;&lt;NodeDependency ParentNodeId="1" ChildNodeId="11" ParentPosition="1"/&gt;&lt;NodeDependency ParentNodeId="2" ChildNodeId="11" ParentPosition="2"/&gt;&lt;NodeDependency ParentNodeId="3" ChildNodeId="11" ParentPosition="3"/&gt;&lt;NodeDependency ParentNodeId="4" ChildNodeId="11" ParentPosition="4"/&gt;&lt;NodeDependency ParentNodeId="5" ChildNodeId="11" ParentPosition="5"/&gt;&lt;NodeDependency ParentNodeId="6" ChildNodeId="11" ParentPosition="6"/&gt;&lt;NodeDependency ParentNodeId="7" ChildNodeId="11" ParentPosition="7"/&gt;&lt;NodeDependency ParentNodeId="8" ChildNodeId="11" ParentPosition="8"/&gt;&lt;NodeDependency ParentNodeId="9" ChildNodeId="11" ParentPosition="9"/&gt;&lt;NodeDependency ParentNodeId="10" ChildNodeId="11" ParentPosition="10"/&gt;&lt;NodeDependency ParentNodeId="13" ChildNodeId="23" ParentPosition="1"/&gt;&lt;NodeDependency ParentNodeId="14" ChildNodeId="23" ParentPosition="2"/&gt;&lt;NodeDependency ParentNodeId="15" ChildNodeId="23" ParentPosition="3"/&gt;&lt;NodeDependency ParentNodeId="16" ChildNodeId="23" ParentPosition="4"/&gt;&lt;NodeDependency ParentNodeId="17" ChildNodeId="23" ParentPosition="5"/&gt;&lt;NodeDependency ParentNodeId="18" ChildNodeId="23" ParentPosition="6"/&gt;&lt;NodeDependency ParentNodeId="19" ChildNodeId="23" ParentPosition="7"/&gt;&lt;NodeDependency ParentNodeId="20" ChildNodeId="23" ParentPosition="8"/&gt;&lt;NodeDependency ParentNodeId="21" ChildNodeId="23" ParentPosition="9"/&gt;&lt;NodeDependency ParentNodeId="22" ChildNodeId="23" ParentPosition="10"/&gt;&lt;NodeDependency ParentNodeId="23" ChildNodeId="25" ParentPosition="1"/&gt;&lt;NodeDependency ParentNodeId="24" ChildNodeId="25" ParentPosition="2"/&gt;&lt;NodeDependency ParentNodeId="26" ChildNodeId="36" ParentPosition="1"/&gt;&lt;NodeDependency ParentNodeId="27" ChildNodeId="36" ParentPosition="2"/&gt;&lt;NodeDependency ParentNodeId="28" ChildNodeId="36" ParentPosition="3"/&gt;&lt;NodeDependency ParentNodeId="29" ChildNodeId="36" ParentPosition="4"/&gt;&lt;NodeDependency ParentNodeId="30" ChildNodeId="36" ParentPosition="5"/&gt;&lt;NodeDependency ParentNodeId="31" ChildNodeId="36" ParentPosition="6"/&gt;&lt;NodeDependency ParentNodeId="32" ChildNodeId="36" ParentPosition="7"/&gt;&lt;NodeDependency ParentNodeId="33" ChildNodeId="36" ParentPosition="8"/&gt;&lt;NodeDependency ParentNodeId="34" ChildNodeId="36" ParentPosition="9"/&gt;&lt;NodeDependency ParentNodeId="35" ChildNodeId="36" ParentPosition="10"/&gt;&lt;NodeDependency ParentNodeId="36" ChildNodeId="38" ParentPosition="1"/&gt;&lt;NodeDependency ParentNodeId="37" ChildNodeId="38" ParentPosition="2"/&gt;&lt;NodeDependency ParentNodeId="25" ChildNodeId="39" ParentPosition="1"/&gt;&lt;NodeDependency ParentNodeId="38" ChildNodeId="39" ParentPosition="2"/&gt;&lt;NodeDependency ParentNodeId="40" ChildNodeId="50" ParentPosition="1"/&gt;&lt;NodeDependency ParentNodeId="41" ChildNodeId="50" ParentPosition="2"/&gt;&lt;NodeDependency ParentNodeId="42" ChildNodeId="50" ParentPosition="3"/&gt;&lt;NodeDependency ParentNodeId="43" ChildNodeId="50" ParentPosition="4"/&gt;&lt;NodeDependency ParentNodeId="44" ChildNodeId="50" ParentPosition="5"/&gt;&lt;NodeDependency ParentNodeId="45" ChildNodeId="50" ParentPosition="6"/&gt;&lt;NodeDependency ParentNodeId="46" ChildNodeId="50" ParentPosition="7"/&gt;&lt;NodeDependency ParentNodeId="47" ChildNodeId="50" ParentPosition="8"/&gt;&lt;NodeDependency ParentNodeId="48" ChildNodeId="50" ParentPosition="9"/&gt;&lt;NodeDependency ParentNodeId="49" ChildNodeId="50" ParentPosition="10"/&gt;&lt;NodeDependency ParentNodeId="50" ChildNodeId="52" ParentPosition="1"/&gt;&lt;NodeDependency ParentNodeId="51" ChildNodeId="52" ParentPosition="2"/&gt;&lt;NodeDependency ParentNodeId="39" ChildNodeId="53" ParentPosition="1"/&gt;&lt;NodeDependency ParentNodeId="52" ChildNodeId="53" ParentPosition="2"/&gt;&lt;NodeDependency ParentNodeId="53" ChildNodeId="56" ParentPosition="1"/&gt;&lt;NodeDependency ParentNodeId="54" ChildNodeId="56" ParentPosition="2"/&gt;&lt;NodeDependency ParentNodeId="55" ChildNodeId="56" ParentPosition="3"/&gt;&lt;NodeDependency ParentNodeId="12" ChildNodeId="58" ParentPosition="1"/&gt;&lt;NodeDependency ParentNodeId="56" ChildNodeId="58" ParentPosition="2"/&gt;&lt;NodeDependency ParentNodeId="57" ChildNodeId="58" ParentPosition="3"/&gt;&lt;NodeDependency ParentNodeId="11" ChildNodeId="59" ParentPosition="1"/&gt;&lt;NodeDependency ParentNodeId="58" ChildNodeId="59" ParentPosition="2"/&gt;&lt;/NodeDependencies&gt;&lt;/CodeCalculation&gt;</a:t>
          </a:r>
        </a:p>
        <a:p>
          <a:pPr algn="l"/>
          <a:endParaRPr lang="en-US" sz="1100"/>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2</xdr:col>
      <xdr:colOff>50800</xdr:colOff>
      <xdr:row>0</xdr:row>
      <xdr:rowOff>63500</xdr:rowOff>
    </xdr:from>
    <xdr:to>
      <xdr:col>18</xdr:col>
      <xdr:colOff>266700</xdr:colOff>
      <xdr:row>2</xdr:row>
      <xdr:rowOff>139700</xdr:rowOff>
    </xdr:to>
    <xdr:sp macro="" textlink="">
      <xdr:nvSpPr>
        <xdr:cNvPr id="2" name="Rectangle 1">
          <a:extLst>
            <a:ext uri="{FF2B5EF4-FFF2-40B4-BE49-F238E27FC236}">
              <a16:creationId xmlns:a16="http://schemas.microsoft.com/office/drawing/2014/main" id="{E7DBE5D9-0A43-499B-88F2-7FB6AC75E232}"/>
            </a:ext>
          </a:extLst>
        </xdr:cNvPr>
        <xdr:cNvSpPr/>
      </xdr:nvSpPr>
      <xdr:spPr>
        <a:xfrm>
          <a:off x="1270000" y="0"/>
          <a:ext cx="10160000" cy="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&lt;CodeCalculation Name="multipleMatchNew" Version="4" AppliesTo="All except skip" HasMultipleOutputs="0"&gt;&lt;Inputs&gt;&lt;Input InputId="1" Name="criteria1" Type="0"/&gt;&lt;Input InputId="2" Name="criteria2" Type="0"/&gt;&lt;Input InputId="3" Name="criteria3" Type="0"/&gt;&lt;/Inputs&gt;&lt;InputDependencies&gt;&lt;InputDependency InputId="1" NodeId="24"/&gt;&lt;InputDependency InputId="2" NodeId="37"/&gt;&lt;InputDependency InputId="3" NodeId="51"/&gt;&lt;/InputDependencies&gt;&lt;TestCases&gt;&lt;TestCase&gt;&lt;InputValue Type="0" Value="a"/&gt;&lt;InputValue Type="0" Value="a"/&gt;&lt;InputValue Type="0" Value="a"/&gt;&lt;OutputValue Type="0" Value="apple"/&gt;&lt;/TestCase&gt;&lt;TestCase&gt;&lt;InputValue Type="0" Value="a"/&gt;&lt;InputValue Type="0" Value="a"/&gt;&lt;InputValue Type="0" Value="c"/&gt;&lt;OutputValue Type="0" Value="orange"/&gt;&lt;/TestCase&gt;&lt;TestCase&gt;&lt;InputValue Type="0" Value="a"/&gt;&lt;InputValue Type="0" Value="b"/&gt;&lt;InputValue Type="0" Value="a"/&gt;&lt;OutputValue Type="0" Value="banana"/&gt;&lt;/TestCase&gt;&lt;TestCase&gt;&lt;InputValue Type="0" Value="a"/&gt;&lt;InputValue Type="0" Value="b"/&gt;&lt;InputValue Type="0" Value="c"/&gt;&lt;OutputValue Type="0" Value="pineapple"/&gt;&lt;/TestCase&gt;&lt;TestCase&gt;&lt;InputValue Type="0" Value="b"/&gt;&lt;InputValue Type="0" Value="a"/&gt;&lt;InputValue Type="0" Value="a"/&gt;&lt;OutputValue Type="0" Value="carrot"/&gt;&lt;/TestCase&gt;&lt;TestCase&gt;&lt;InputValue Type="0" Value="b"/&gt;&lt;InputValue Type="0" Value="a"/&gt;&lt;InputValue Type="0" Value="c"/&gt;&lt;OutputValue Type="0" Value="eggplant"/&gt;&lt;/TestCase&gt;&lt;TestCase&gt;&lt;InputValue Type="0" Value="b"/&gt;&lt;InputValue Type="0" Value="b"/&gt;&lt;InputValue Type="0" Value="a"/&gt;&lt;OutputValue Type="0" Value="tomato"/&gt;&lt;/TestCase&gt;&lt;TestCase&gt;&lt;InputValue Type="0" Value="b"/&gt;&lt;InputValue Type="0" Value="b"/&gt;&lt;InputValue Type="0" Value="c"/&gt;&lt;OutputValue Type="0" Value="asparagus"/&gt;&lt;/TestCase&gt;&lt;/TestCases&gt;&lt;LangSpecs&gt;&lt;LangSpec Language="1" ProcessStub="-1" PrefixStub="0" Skip="0" DefineHelperFunction="0"/&gt;&lt;LangSpec Language="3" ProcessStub="-1" PrefixStub="0" Skip="0" DefineHelperFunction="0"/&gt;&lt;/LangSpecs&gt;&lt;FunctionNodes&gt;&lt;FunctionNode NodeId="11" Name="ARRAY" HasMultipleChildren="0"/&gt;&lt;FunctionNode NodeId="23" Name="ARRAY" HasMultipleChildren="0"/&gt;&lt;FunctionNode NodeId="25" Name="=" HasMultipleChildren="0"/&gt;&lt;FunctionNode NodeId="36" Name="ARRAY" HasMultipleChildren="0"/&gt;&lt;FunctionNode NodeId="38" Name="=" HasMultipleChildren="0"/&gt;&lt;FunctionNode NodeId="39" Name="*" HasMultipleChildren="0"/&gt;&lt;FunctionNode NodeId="50" Name="ARRAY" HasMultipleChildren="0"/&gt;&lt;FunctionNode NodeId="52" Name="=" HasMultipleChildren="0"/&gt;&lt;FunctionNode NodeId="53" Name="*" HasMultipleChildren="0"/&gt;&lt;FunctionNode NodeId="55" Name="MATCH" HasMultipleChildren="0"/&gt;&lt;FunctionNode NodeId="56" Name="INDEX" HasMultipleChildren="0"/&gt;&lt;/FunctionNodes&gt;&lt;ConstantNodes&gt;&lt;ConstantNode NodeId="1" Type="1" Value="8" HasMultipleChildren="0"/&gt;&lt;ConstantNode NodeId="2" Type="1" Value="1" HasMultipleChildren="0"/&gt;&lt;ConstantNode NodeId="3" Type="0" Value="apple" HasMultipleChildren="0"/&gt;&lt;ConstantNode NodeId="4" Type="0" Value="orange" HasMultipleChildren="0"/&gt;&lt;ConstantNode NodeId="5" Type="0" Value="banana" HasMultipleChildren="0"/&gt;&lt;ConstantNode NodeId="6" Type="0" Value="pineapple" HasMultipleChildren="0"/&gt;&lt;ConstantNode NodeId="7" Type="0" Value="carrot" HasMultipleChildren="0"/&gt;&lt;ConstantNode NodeId="8" Type="0" Value="eggplant" HasMultipleChildren="0"/&gt;&lt;ConstantNode NodeId="9" Type="0" Value="tomato" HasMultipleChildren="0"/&gt;&lt;ConstantNode NodeId="10" Type="0" Value="asparagus" HasMultipleChildren="0"/&gt;&lt;ConstantNode NodeId="12" Type="1" Value="1" HasMultipleChildren="0"/&gt;&lt;ConstantNode NodeId="13" Type="1" Value="8" HasMultipleChildren="0"/&gt;&lt;ConstantNode NodeId="14" Type="1" Value="1" HasMultipleChildren="0"/&gt;&lt;ConstantNode NodeId="15" Type="0" Value="a" HasMultipleChildren="0"/&gt;&lt;ConstantNode NodeId="16" Type="0" Value="a" HasMultipleChildren="0"/&gt;&lt;ConstantNode NodeId="17" Type="0" Value="a" HasMultipleChildren="0"/&gt;&lt;ConstantNode NodeId="18" Type="0" Value="a" HasMultipleChildren="0"/&gt;&lt;ConstantNode NodeId="19" Type="0" Value="b" HasMultipleChildren="0"/&gt;&lt;ConstantNode NodeId="20" Type="0" Value="b" HasMultipleChildren="0"/&gt;&lt;ConstantNode NodeId="21" Type="0" Value="b" HasMultipleChildren="0"/&gt;&lt;ConstantNode NodeId="22" Type="0" Value="b" HasMultipleChildren="0"/&gt;&lt;ConstantNode NodeId="26" Type="1" Value="8" HasMultipleChildren="0"/&gt;&lt;ConstantNode NodeId="27" Type="1" Value="1" HasMultipleChildren="0"/&gt;&lt;ConstantNode NodeId="28" Type="0" Value="a" HasMultipleChildren="0"/&gt;&lt;ConstantNode NodeId="29" Type="0" Value="a" HasMultipleChildren="0"/&gt;&lt;ConstantNode NodeId="30" Type="0" Value="b" HasMultipleChildren="0"/&gt;&lt;ConstantNode NodeId="31" Type="0" Value="b" HasMultipleChildren="0"/&gt;&lt;ConstantNode NodeId="32" Type="0" Value="a" HasMultipleChildren="0"/&gt;&lt;ConstantNode NodeId="33" Type="0" Value="a" HasMultipleChildren="0"/&gt;&lt;ConstantNode NodeId="34" Type="0" Value="b" HasMultipleChildren="0"/&gt;&lt;ConstantNode NodeId="35" Type="0" Value="b" HasMultipleChildren="0"/&gt;&lt;ConstantNode NodeId="40" Type="1" Value="8" HasMultipleChildren="0"/&gt;&lt;ConstantNode NodeId="41" Type="1" Value="1" HasMultipleChildren="0"/&gt;&lt;ConstantNode NodeId="42" Type="0" Value="a" HasMultipleChildren="0"/&gt;&lt;ConstantNode NodeId="43" Type="0" Value="c" HasMultipleChildren="0"/&gt;&lt;ConstantNode NodeId="44" Type="0" Value="a" HasMultipleChildren="0"/&gt;&lt;ConstantNode NodeId="45" Type="0" Value="c" HasMultipleChildren="0"/&gt;&lt;ConstantNode NodeId="46" Type="0" Value="a" HasMultipleChildren="0"/&gt;&lt;ConstantNode NodeId="47" Type="0" Value="c" HasMultipleChildren="0"/&gt;&lt;ConstantNode NodeId="48" Type="0" Value="a" HasMultipleChildren="0"/&gt;&lt;ConstantNode NodeId="49" Type="0" Value="c" HasMultipleChildren="0"/&gt;&lt;ConstantNode NodeId="54" Type="1" Value="0" HasMultipleChildren="0"/&gt;&lt;/ConstantNodes&gt;&lt;NamedNodes&gt;&lt;NamedNode NodeId="11" NameLevel="10" Name="J10:J17"/&gt;&lt;NamedNode NodeId="11" NameLevel="100" Name="multipleMatchNewTable[result]"/&gt;&lt;NamedNode NodeId="23" NameLevel="10" Name="G10:G17"/&gt;&lt;NamedNode NodeId="23" NameLevel="100" Name="multipleMatchNewTable[criteria1]"/&gt;&lt;NamedNode NodeId="36" NameLevel="10" Name="H10:H17"/&gt;&lt;NamedNode NodeId="36" NameLevel="100" Name="multipleMatchNewTable[criteria2]"/&gt;&lt;NamedNode NodeId="50" NameLevel="10" Name="I10:I17"/&gt;&lt;NamedNode NodeId="50" NameLevel="100" Name="multipleMatchNewTable[criteria3]"/&gt;&lt;/NamedNodes&gt;&lt;NodeComments/&gt;&lt;Outputs&gt;&lt;Output Id="1" Name="multipleMatchNew" Type="0" NodeId="56"/&gt;&lt;/Outputs&gt;&lt;NodeDependencies&gt;&lt;NodeDependency ParentNodeId="1" ChildNodeId="11" ParentPosition="1"/&gt;&lt;NodeDependency ParentNodeId="2" ChildNodeId="11" ParentPosition="2"/&gt;&lt;NodeDependency ParentNodeId="3" ChildNodeId="11" ParentPosition="3"/&gt;&lt;NodeDependency ParentNodeId="4" ChildNodeId="11" ParentPosition="4"/&gt;&lt;NodeDependency ParentNodeId="5" ChildNodeId="11" ParentPosition="5"/&gt;&lt;NodeDependency ParentNodeId="6" ChildNodeId="11" ParentPosition="6"/&gt;&lt;NodeDependency ParentNodeId="7" ChildNodeId="11" ParentPosition="7"/&gt;&lt;NodeDependency ParentNodeId="8" ChildNodeId="11" ParentPosition="8"/&gt;&lt;NodeDependency ParentNodeId="9" ChildNodeId="11" ParentPosition="9"/&gt;&lt;NodeDependency ParentNodeId="10" ChildNodeId="11" ParentPosition="10"/&gt;&lt;NodeDependency ParentNodeId="13" ChildNodeId="23" ParentPosition="1"/&gt;&lt;NodeDependency ParentNodeId="14" ChildNodeId="23" ParentPosition="2"/&gt;&lt;NodeDependency ParentNodeId="15" ChildNodeId="23" ParentPosition="3"/&gt;&lt;NodeDependency ParentNodeId="16" ChildNodeId="23" ParentPosition="4"/&gt;&lt;NodeDependency ParentNodeId="17" ChildNodeId="23" ParentPosition="5"/&gt;&lt;NodeDependency ParentNodeId="18" ChildNodeId="23" ParentPosition="6"/&gt;&lt;NodeDependency ParentNodeId="19" ChildNodeId="23" ParentPosition="7"/&gt;&lt;NodeDependency ParentNodeId="20" ChildNodeId="23" ParentPosition="8"/&gt;&lt;NodeDependency ParentNodeId="21" ChildNodeId="23" ParentPosition="9"/&gt;&lt;NodeDependency ParentNodeId="22" ChildNodeId="23" ParentPosition="10"/&gt;&lt;NodeDependency ParentNodeId="23" ChildNodeId="25" ParentPosition="1"/&gt;&lt;NodeDependency ParentNodeId="24" ChildNodeId="25" ParentPosition="2"/&gt;&lt;NodeDependency ParentNodeId="26" ChildNodeId="36" ParentPosition="1"/&gt;&lt;NodeDependency ParentNodeId="27" ChildNodeId="36" ParentPosition="2"/&gt;&lt;NodeDependency ParentNodeId="28" ChildNodeId="36" ParentPosition="3"/&gt;&lt;NodeDependency ParentNodeId="29" ChildNodeId="36" ParentPosition="4"/&gt;&lt;NodeDependency ParentNodeId="30" ChildNodeId="36" ParentPosition="5"/&gt;&lt;NodeDependency ParentNodeId="31" ChildNodeId="36" ParentPosition="6"/&gt;&lt;NodeDependency ParentNodeId="32" ChildNodeId="36" ParentPosition="7"/&gt;&lt;NodeDependency ParentNodeId="33" ChildNodeId="36" ParentPosition="8"/&gt;&lt;NodeDependency ParentNodeId="34" ChildNodeId="36" ParentPosition="9"/&gt;&lt;NodeDependency ParentNodeId="35" ChildNodeId="36" ParentPosition="10"/&gt;&lt;NodeDependency ParentNodeId="36" ChildNodeId="38" ParentPosition="1"/&gt;&lt;NodeDependency ParentNodeId="37" ChildNodeId="38" ParentPosition="2"/&gt;&lt;NodeDependency ParentNodeId="25" ChildNodeId="39" ParentPosition="1"/&gt;&lt;NodeDependency ParentNodeId="38" ChildNodeId="39" ParentPosition="2"/&gt;&lt;NodeDependency ParentNodeId="40" ChildNodeId="50" ParentPosition="1"/&gt;&lt;NodeDependency ParentNodeId="41" ChildNodeId="50" ParentPosition="2"/&gt;&lt;NodeDependency ParentNodeId="42" ChildNodeId="50" ParentPosition="3"/&gt;&lt;NodeDependency ParentNodeId="43" ChildNodeId="50" ParentPosition="4"/&gt;&lt;NodeDependency ParentNodeId="44" ChildNodeId="50" ParentPosition="5"/&gt;&lt;NodeDependency ParentNodeId="45" ChildNodeId="50" ParentPosition="6"/&gt;&lt;NodeDependency ParentNodeId="46" ChildNodeId="50" ParentPosition="7"/&gt;&lt;NodeDependency ParentNodeId="47" ChildNodeId="50" ParentPosition="8"/&gt;&lt;NodeDependency ParentNodeId="48" ChildNodeId="50" ParentPosition="9"/&gt;&lt;NodeDependency ParentNodeId="49" ChildNodeId="50" ParentPosition="10"/&gt;&lt;NodeDependency ParentNodeId="50" ChildNodeId="52" ParentPosition="1"/&gt;&lt;NodeDependency ParentNodeId="51" ChildNodeId="52" ParentPosition="2"/&gt;&lt;NodeDependency ParentNodeId="39" ChildNodeId="53" ParentPosition="1"/&gt;&lt;NodeDependency ParentNodeId="52" ChildNodeId="53" ParentPosition="2"/&gt;&lt;NodeDependency ParentNodeId="12" ChildNodeId="55" ParentPosition="1"/&gt;&lt;NodeDependency ParentNodeId="53" ChildNodeId="55" ParentPosition="2"/&gt;&lt;NodeDependency ParentNodeId="54" ChildNodeId="55" ParentPosition="3"/&gt;&lt;NodeDependency ParentNodeId="11" ChildNodeId="56" ParentPosition="1"/&gt;&lt;NodeDependency ParentNodeId="55" ChildNodeId="56" ParentPosition="2"/&gt;&lt;/NodeDependencies&gt;&lt;/CodeCalculation&gt;</a:t>
          </a:r>
        </a:p>
        <a:p>
          <a:pPr algn="l"/>
          <a:endParaRPr lang="en-US" sz="1100"/>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1</xdr:col>
      <xdr:colOff>260350</xdr:colOff>
      <xdr:row>0</xdr:row>
      <xdr:rowOff>63500</xdr:rowOff>
    </xdr:from>
    <xdr:to>
      <xdr:col>10</xdr:col>
      <xdr:colOff>685800</xdr:colOff>
      <xdr:row>2</xdr:row>
      <xdr:rowOff>139700</xdr:rowOff>
    </xdr:to>
    <xdr:sp macro="" textlink="">
      <xdr:nvSpPr>
        <xdr:cNvPr id="2" name="Rectangle 1">
          <a:extLst>
            <a:ext uri="{FF2B5EF4-FFF2-40B4-BE49-F238E27FC236}">
              <a16:creationId xmlns:a16="http://schemas.microsoft.com/office/drawing/2014/main" id="{795AAE6C-1F02-31A4-9CCB-E2A8DBC51CC7}"/>
            </a:ext>
          </a:extLst>
        </xdr:cNvPr>
        <xdr:cNvSpPr/>
      </xdr:nvSpPr>
      <xdr:spPr>
        <a:xfrm>
          <a:off x="1270000" y="63500"/>
          <a:ext cx="10160000" cy="44450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&lt;CodeCalculation Name="ascendingInexactLookup" Version="4" AppliesTo="All except skip" HasMultipleOutputs="0"&gt;&lt;Inputs&gt;&lt;Input InputId="1" Name="lookup" Type="1"/&gt;&lt;/Inputs&gt;&lt;InputDependencies&gt;&lt;InputDependency InputId="1" NodeId="9"/&gt;&lt;/InputDependencies&gt;&lt;TestCases&gt;&lt;TestCase&gt;&lt;InputValue Type="1" Value="1.5"/&gt;&lt;OutputValue Type="1" Value="0"/&gt;&lt;/TestCase&gt;&lt;TestCase&gt;&lt;InputValue Type="1" Value="2"/&gt;&lt;OutputValue Type="1" Value="10"/&gt;&lt;/TestCase&gt;&lt;TestCase&gt;&lt;InputValue Type="1" Value="2.5"/&gt;&lt;OutputValue Type="1" Value="10"/&gt;&lt;/TestCase&gt;&lt;TestCase&gt;&lt;InputValue Type="1" Value="3"/&gt;&lt;OutputValue Type="1" Value="11"/&gt;&lt;/TestCase&gt;&lt;TestCase&gt;&lt;InputValue Type="1" Value="3.5"/&gt;&lt;OutputValue Type="1" Value="11"/&gt;&lt;/TestCase&gt;&lt;TestCase&gt;&lt;InputValue Type="1" Value="4"/&gt;&lt;OutputValue Type="1" Value="12"/&gt;&lt;/TestCase&gt;&lt;TestCase&gt;&lt;InputValue Type="1" Value="4.5"/&gt;&lt;OutputValue Type="1" Value="12"/&gt;&lt;/TestCase&gt;&lt;TestCase&gt;&lt;InputValue Type="1" Value="5"/&gt;&lt;OutputValue Type="1" Value="13"/&gt;&lt;/TestCase&gt;&lt;TestCase&gt;&lt;InputValue Type="1" Value="5.5"/&gt;&lt;OutputValue Type="1" Value="13"/&gt;&lt;/TestCase&gt;&lt;TestCase&gt;&lt;InputValue Type="1" Value="6"/&gt;&lt;OutputValue Type="1" Value="14"/&gt;&lt;/TestCase&gt;&lt;TestCase&gt;&lt;InputValue Type="1" Value="6.5"/&gt;&lt;OutputValue Type="1" Value="14"/&gt;&lt;/TestCase&gt;&lt;/TestCases&gt;&lt;LangSpecs&gt;&lt;LangSpec Language="1" ProcessStub="-1" PrefixStub="0" Skip="0" DefineHelperFunction="0"/&gt;&lt;LangSpec Language="3" ProcessStub="-1" PrefixStub="0" Skip="0" DefineHelperFunction="0"/&gt;&lt;/LangSpecs&gt;&lt;FunctionNodes&gt;&lt;FunctionNode NodeId="8" Name="ARRAY" HasMultipleChildren="0"/&gt;&lt;FunctionNode NodeId="10" Name="&amp;lt;=" HasMultipleChildren="0"/&gt;&lt;FunctionNode NodeId="18" Name="ARRAY" HasMultipleChildren="0"/&gt;&lt;FunctionNode NodeId="19" Name="*" HasMultipleChildren="0"/&gt;&lt;FunctionNode NodeId="20" Name="MAX" HasMultipleChildren="0"/&gt;&lt;/FunctionNodes&gt;&lt;ConstantNodes&gt;&lt;ConstantNode NodeId="1" Type="1" Value="5" HasMultipleChildren="0"/&gt;&lt;ConstantNode NodeId="2" Type="1" Value="1" HasMultipleChildren="0"/&gt;&lt;ConstantNode NodeId="3" Type="1" Value="2" HasMultipleChildren="0"/&gt;&lt;ConstantNode NodeId="4" Type="1" Value="3" HasMultipleChildren="0"/&gt;&lt;ConstantNode NodeId="5" Type="1" Value="4" HasMultipleChildren="0"/&gt;&lt;ConstantNode NodeId="6" Type="1" Value="5" HasMultipleChildren="0"/&gt;&lt;ConstantNode NodeId="7" Type="1" Value="6" HasMultipleChildren="0"/&gt;&lt;ConstantNode NodeId="11" Type="1" Value="5" HasMultipleChildren="0"/&gt;&lt;ConstantNode NodeId="12" Type="1" Value="1" HasMultipleChildren="0"/&gt;&lt;ConstantNode NodeId="13" Type="1" Value="10" HasMultipleChildren="0"/&gt;&lt;ConstantNode NodeId="14" Type="1" Value="11" HasMultipleChildren="0"/&gt;&lt;ConstantNode NodeId="15" Type="1" Value="12" HasMultipleChildren="0"/&gt;&lt;ConstantNode NodeId="16" Type="1" Value="13" HasMultipleChildren="0"/&gt;&lt;ConstantNode NodeId="17" Type="1" Value="14" HasMultipleChildren="0"/&gt;&lt;/ConstantNodes&gt;&lt;NamedNodes&gt;&lt;NamedNode NodeId="8" NameLevel="10" Name="A14:A18"/&gt;&lt;NamedNode NodeId="8" NameLevel="100" Name="InexactNumericLookupTable[Lookup]"/&gt;&lt;NamedNode NodeId="18" NameLevel="10" Name="B14:B18"/&gt;&lt;NamedNode NodeId="18" NameLevel="100" Name="InexactNumericLookupTable[val]"/&gt;&lt;/NamedNodes&gt;&lt;NodeComments/&gt;&lt;Outputs&gt;&lt;Output Id="1" Name="ascendingInexactLookup" Type="1" NodeId="20"/&gt;&lt;/Outputs&gt;&lt;NodeDependencies&gt;&lt;NodeDependency ParentNodeId="1" ChildNodeId="8" ParentPosition="1"/&gt;&lt;NodeDependency ParentNodeId="2" ChildNodeId="8" ParentPosition="2"/&gt;&lt;NodeDependency ParentNodeId="3" ChildNodeId="8" ParentPosition="3"/&gt;&lt;NodeDependency ParentNodeId="4" ChildNodeId="8" ParentPosition="4"/&gt;&lt;NodeDependency ParentNodeId="5" ChildNodeId="8" ParentPosition="5"/&gt;&lt;NodeDependency ParentNodeId="6" ChildNodeId="8" ParentPosition="6"/&gt;&lt;NodeDependency ParentNodeId="7" ChildNodeId="8" ParentPosition="7"/&gt;&lt;NodeDependency ParentNodeId="8" ChildNodeId="10" ParentPosition="1"/&gt;&lt;NodeDependency ParentNodeId="9" ChildNodeId="10" ParentPosition="2"/&gt;&lt;NodeDependency ParentNodeId="11" ChildNodeId="18" ParentPosition="1"/&gt;&lt;NodeDependency ParentNodeId="12" ChildNodeId="18" ParentPosition="2"/&gt;&lt;NodeDependency ParentNodeId="13" ChildNodeId="18" ParentPosition="3"/&gt;&lt;NodeDependency ParentNodeId="14" ChildNodeId="18" ParentPosition="4"/&gt;&lt;NodeDependency ParentNodeId="15" ChildNodeId="18" ParentPosition="5"/&gt;&lt;NodeDependency ParentNodeId="16" ChildNodeId="18" ParentPosition="6"/&gt;&lt;NodeDependency ParentNodeId="17" ChildNodeId="18" ParentPosition="7"/&gt;&lt;NodeDependency ParentNodeId="10" ChildNodeId="19" ParentPosition="1"/&gt;&lt;NodeDependency ParentNodeId="18" ChildNodeId="19" ParentPosition="2"/&gt;&lt;NodeDependency ParentNodeId="19" ChildNodeId="20" ParentPosition="1"/&gt;&lt;/NodeDependencies&gt;&lt;/CodeCalculation&gt;</a:t>
          </a:r>
        </a:p>
        <a:p>
          <a:pPr algn="l"/>
          <a:endParaRPr lang="en-US" sz="1100"/>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1</xdr:col>
      <xdr:colOff>260350</xdr:colOff>
      <xdr:row>0</xdr:row>
      <xdr:rowOff>63500</xdr:rowOff>
    </xdr:from>
    <xdr:to>
      <xdr:col>10</xdr:col>
      <xdr:colOff>685800</xdr:colOff>
      <xdr:row>2</xdr:row>
      <xdr:rowOff>139700</xdr:rowOff>
    </xdr:to>
    <xdr:sp macro="" textlink="">
      <xdr:nvSpPr>
        <xdr:cNvPr id="2" name="Rectangle 1">
          <a:extLst>
            <a:ext uri="{FF2B5EF4-FFF2-40B4-BE49-F238E27FC236}">
              <a16:creationId xmlns:a16="http://schemas.microsoft.com/office/drawing/2014/main" id="{E4C490D5-C705-42AC-83EB-F774FC76F3DB}"/>
            </a:ext>
          </a:extLst>
        </xdr:cNvPr>
        <xdr:cNvSpPr/>
      </xdr:nvSpPr>
      <xdr:spPr>
        <a:xfrm>
          <a:off x="1270000" y="0"/>
          <a:ext cx="10160000" cy="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&lt;CodeCalculation Name="numericInexactLookupSafer" Version="4" AppliesTo="All except skip" HasMultipleOutputs="0"&gt;&lt;Inputs&gt;&lt;Input InputId="1" Name="lookup" Type="1"/&gt;&lt;/Inputs&gt;&lt;InputDependencies&gt;&lt;InputDependency InputId="1" NodeId="1"/&gt;&lt;InputDependency InputId="1" NodeId="21"/&gt;&lt;/InputDependencies&gt;&lt;TestCases&gt;&lt;TestCase&gt;&lt;InputValue Type="1" Value="1.5"/&gt;&lt;OutputValue Type="1" Value="0"/&gt;&lt;/TestCase&gt;&lt;TestCase&gt;&lt;InputValue Type="1" Value="2"/&gt;&lt;OutputValue Type="1" Value="14"/&gt;&lt;/TestCase&gt;&lt;TestCase&gt;&lt;InputValue Type="1" Value="2"/&gt;&lt;OutputValue Type="1" Value="14"/&gt;&lt;/TestCase&gt;&lt;TestCase&gt;&lt;InputValue Type="1" Value="2.5"/&gt;&lt;OutputValue Type="1" Value="14"/&gt;&lt;/TestCase&gt;&lt;TestCase&gt;&lt;InputValue Type="1" Value="3"/&gt;&lt;OutputValue Type="1" Value="13"/&gt;&lt;/TestCase&gt;&lt;TestCase&gt;&lt;InputValue Type="1" Value="3.5"/&gt;&lt;OutputValue Type="1" Value="13"/&gt;&lt;/TestCase&gt;&lt;TestCase&gt;&lt;InputValue Type="1" Value="4"/&gt;&lt;OutputValue Type="1" Value="12"/&gt;&lt;/TestCase&gt;&lt;TestCase&gt;&lt;InputValue Type="1" Value="4.5"/&gt;&lt;OutputValue Type="1" Value="12"/&gt;&lt;/TestCase&gt;&lt;TestCase&gt;&lt;InputValue Type="1" Value="5"/&gt;&lt;OutputValue Type="1" Value="11"/&gt;&lt;/TestCase&gt;&lt;TestCase&gt;&lt;InputValue Type="1" Value="5.5"/&gt;&lt;OutputValue Type="1" Value="11"/&gt;&lt;/TestCase&gt;&lt;TestCase&gt;&lt;InputValue Type="1" Value="6"/&gt;&lt;OutputValue Type="1" Value="10"/&gt;&lt;/TestCase&gt;&lt;/TestCases&gt;&lt;LangSpecs&gt;&lt;LangSpec Language="1" ProcessStub="-1" PrefixStub="0" Skip="0" DefineHelperFunction="0"/&gt;&lt;LangSpec Language="3" ProcessStub="-1" PrefixStub="0" Skip="0" DefineHelperFunction="0"/&gt;&lt;/LangSpecs&gt;&lt;FunctionNodes&gt;&lt;FunctionNode NodeId="3" Name="&amp;lt;" HasMultipleChildren="0"/&gt;&lt;FunctionNode NodeId="12" Name="ARRAY" HasMultipleChildren="0"/&gt;&lt;FunctionNode NodeId="20" Name="ARRAY" HasMultipleChildren="-1"/&gt;&lt;FunctionNode NodeId="22" Name="&amp;lt;=" HasMultipleChildren="0"/&gt;&lt;FunctionNode NodeId="23" Name="*" HasMultipleChildren="0"/&gt;&lt;FunctionNode NodeId="24" Name="MAX" HasMultipleChildren="0"/&gt;&lt;FunctionNode NodeId="26" Name="MATCH" HasMultipleChildren="0"/&gt;&lt;FunctionNode NodeId="27" Name="INDEX" HasMultipleChildren="0"/&gt;&lt;FunctionNode NodeId="28" Name="IF" HasMultipleChildren="0"/&gt;&lt;/FunctionNodes&gt;&lt;ConstantNodes&gt;&lt;ConstantNode NodeId="2" Type="1" Value="2" HasMultipleChildren="0"/&gt;&lt;ConstantNode NodeId="4" Type="1" Value="0" HasMultipleChildren="0"/&gt;&lt;ConstantNode NodeId="5" Type="1" Value="5" HasMultipleChildren="0"/&gt;&lt;ConstantNode NodeId="6" Type="1" Value="1" HasMultipleChildren="0"/&gt;&lt;ConstantNode NodeId="7" Type="1" Value="14" HasMultipleChildren="0"/&gt;&lt;ConstantNode NodeId="8" Type="1" Value="13" HasMultipleChildren="0"/&gt;&lt;ConstantNode NodeId="9" Type="1" Value="12" HasMultipleChildren="0"/&gt;&lt;ConstantNode NodeId="10" Type="1" Value="11" HasMultipleChildren="0"/&gt;&lt;ConstantNode NodeId="11" Type="1" Value="10" HasMultipleChildren="0"/&gt;&lt;ConstantNode NodeId="13" Type="1" Value="5" HasMultipleChildren="0"/&gt;&lt;ConstantNode NodeId="14" Type="1" Value="1" HasMultipleChildren="0"/&gt;&lt;ConstantNode NodeId="15" Type="1" Value="2" HasMultipleChildren="0"/&gt;&lt;ConstantNode NodeId="16" Type="1" Value="3" HasMultipleChildren="0"/&gt;&lt;ConstantNode NodeId="17" Type="1" Value="4" HasMultipleChildren="0"/&gt;&lt;ConstantNode NodeId="18" Type="1" Value="5" HasMultipleChildren="0"/&gt;&lt;ConstantNode NodeId="19" Type="1" Value="6" HasMultipleChildren="0"/&gt;&lt;ConstantNode NodeId="25" Type="1" Value="0" HasMultipleChildren="0"/&gt;&lt;/ConstantNodes&gt;&lt;NamedNodes&gt;&lt;NamedNode NodeId="12" NameLevel="10" Name="B17:B21"/&gt;&lt;NamedNode NodeId="12" NameLevel="100" Name="InexactNumericLookupB[val]"/&gt;&lt;NamedNode NodeId="20" NameLevel="10" Name="A17:A21"/&gt;&lt;NamedNode NodeId="20" NameLevel="100" Name="InexactNumericLookupB[Lookup]"/&gt;&lt;/NamedNodes&gt;&lt;NodeComments/&gt;&lt;Outputs&gt;&lt;Output Id="1" Name="numericInexactLookupSafer" Type="1" NodeId="28"/&gt;&lt;/Outputs&gt;&lt;NodeDependencies&gt;&lt;NodeDependency ParentNodeId="1" ChildNodeId="3" ParentPosition="1"/&gt;&lt;NodeDependency ParentNodeId="2" ChildNodeId="3" ParentPosition="2"/&gt;&lt;NodeDependency ParentNodeId="5" ChildNodeId="12" ParentPosition="1"/&gt;&lt;NodeDependency ParentNodeId="6" ChildNodeId="12" ParentPosition="2"/&gt;&lt;NodeDependency ParentNodeId="7" ChildNodeId="12" ParentPosition="3"/&gt;&lt;NodeDependency ParentNodeId="8" ChildNodeId="12" ParentPosition="4"/&gt;&lt;NodeDependency ParentNodeId="9" ChildNodeId="12" ParentPosition="5"/&gt;&lt;NodeDependency ParentNodeId="10" ChildNodeId="12" ParentPosition="6"/&gt;&lt;NodeDependency ParentNodeId="11" ChildNodeId="12" ParentPosition="7"/&gt;&lt;NodeDependency ParentNodeId="13" ChildNodeId="20" ParentPosition="1"/&gt;&lt;NodeDependency ParentNodeId="14" ChildNodeId="20" ParentPosition="2"/&gt;&lt;NodeDependency ParentNodeId="15" ChildNodeId="20" ParentPosition="3"/&gt;&lt;NodeDependency ParentNodeId="16" ChildNodeId="20" ParentPosition="4"/&gt;&lt;NodeDependency ParentNodeId="17" ChildNodeId="20" ParentPosition="5"/&gt;&lt;NodeDependency ParentNodeId="18" ChildNodeId="20" ParentPosition="6"/&gt;&lt;NodeDependency ParentNodeId="19" ChildNodeId="20" ParentPosition="7"/&gt;&lt;NodeDependency ParentNodeId="20" ChildNodeId="22" ParentPosition="1"/&gt;&lt;NodeDependency ParentNodeId="21" ChildNodeId="22" ParentPosition="2"/&gt;&lt;NodeDependency ParentNodeId="22" ChildNodeId="23" ParentPosition="1"/&gt;&lt;NodeDependency ParentNodeId="20" ChildNodeId="23" ParentPosition="2"/&gt;&lt;NodeDependency ParentNodeId="23" ChildNodeId="24" ParentPosition="1"/&gt;&lt;NodeDependency ParentNodeId="24" ChildNodeId="26" ParentPosition="1"/&gt;&lt;NodeDependency ParentNodeId="20" ChildNodeId="26" ParentPosition="2"/&gt;&lt;NodeDependency ParentNodeId="25" ChildNodeId="26" ParentPosition="3"/&gt;&lt;NodeDependency ParentNodeId="12" ChildNodeId="27" ParentPosition="1"/&gt;&lt;NodeDependency ParentNodeId="26" ChildNodeId="27" ParentPosition="2"/&gt;&lt;NodeDependency ParentNodeId="3" ChildNodeId="28" ParentPosition="1"/&gt;&lt;NodeDependency ParentNodeId="4" ChildNodeId="28" ParentPosition="2"/&gt;&lt;NodeDependency ParentNodeId="27" ChildNodeId="28" ParentPosition="3"/&gt;&lt;/NodeDependencies&gt;&lt;/CodeCalculation&gt;</a:t>
          </a:r>
        </a:p>
        <a:p>
          <a:pPr algn="l"/>
          <a:endParaRPr lang="en-US" sz="1100"/>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3</xdr:col>
      <xdr:colOff>260350</xdr:colOff>
      <xdr:row>5</xdr:row>
      <xdr:rowOff>57150</xdr:rowOff>
    </xdr:from>
    <xdr:to>
      <xdr:col>7</xdr:col>
      <xdr:colOff>533400</xdr:colOff>
      <xdr:row>15</xdr:row>
      <xdr:rowOff>76200</xdr:rowOff>
    </xdr:to>
    <xdr:sp macro="" textlink="">
      <xdr:nvSpPr>
        <xdr:cNvPr id="2" name="TextBox 1">
          <a:extLst>
            <a:ext uri="{FF2B5EF4-FFF2-40B4-BE49-F238E27FC236}">
              <a16:creationId xmlns:a16="http://schemas.microsoft.com/office/drawing/2014/main" id="{A7475157-866D-782F-7A12-74F1580C12EC}"/>
            </a:ext>
          </a:extLst>
        </xdr:cNvPr>
        <xdr:cNvSpPr txBox="1"/>
      </xdr:nvSpPr>
      <xdr:spPr>
        <a:xfrm>
          <a:off x="3098800" y="425450"/>
          <a:ext cx="2711450" cy="18605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currently</a:t>
          </a:r>
          <a:r>
            <a:rPr lang="en-US" sz="1100" baseline="0"/>
            <a:t> reporting error when translating to terascript. key does not exist - mismatch between dependents and precedents.</a:t>
          </a:r>
          <a:endParaRPr lang="en-US" sz="1100"/>
        </a:p>
      </xdr:txBody>
    </xdr: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E7625ACA-B2E3-44B0-AAF2-E250DA5411F5}" name="myschema.singleCriteriaTableA" displayName="myschema.singleCriteriaTableA" ref="J4:K13" totalsRowShown="0">
  <autoFilter ref="J4:K13" xr:uid="{55A743F0-E8A5-4ED7-90BB-F892110ED961}"/>
  <tableColumns count="2">
    <tableColumn id="1" xr3:uid="{6A203BD1-B4AC-40F6-AE48-1DEA8D0FA003}" name="criteria"/>
    <tableColumn id="2" xr3:uid="{8BD85BB4-604E-49AB-BDD7-11A3A2ABF4FF}" name="answer"/>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5CD7A0C6-392A-4ECF-93C0-D2086FE32F6F}" name="singleCriteriaTableC" displayName="singleCriteriaTableC" ref="J6:K15" totalsRowShown="0">
  <autoFilter ref="J6:K15" xr:uid="{55A743F0-E8A5-4ED7-90BB-F892110ED961}"/>
  <tableColumns count="2">
    <tableColumn id="1" xr3:uid="{E07B12F8-95B2-4746-B8E0-65D8A7B42FDF}" name="criteria"/>
    <tableColumn id="2" xr3:uid="{53516A27-5595-499C-9A2F-C0E24B12DAEC}" name="answer2"/>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34D6CC76-DB31-406A-A6ED-E6763356C41F}" name="singleCriteriaTableB" displayName="singleCriteriaTableB" ref="L10:M19" totalsRowShown="0">
  <autoFilter ref="L10:M19" xr:uid="{34D6CC76-DB31-406A-A6ED-E6763356C41F}"/>
  <tableColumns count="2">
    <tableColumn id="1" xr3:uid="{DDFF38D3-194F-4BD2-AC0D-7C1D232C54A6}" name="criteria"/>
    <tableColumn id="2" xr3:uid="{D33F075F-C9AB-47A0-90FF-C48E52F1820F}" name="result"/>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615F289A-78A2-4FBD-9390-23646DFA1DEA}" name="SingleCriteriaExactTable" displayName="SingleCriteriaExactTable" ref="L9:M18" totalsRowShown="0" headerRowDxfId="36" dataDxfId="35" tableBorderDxfId="34">
  <autoFilter ref="L9:M18" xr:uid="{615F289A-78A2-4FBD-9390-23646DFA1DEA}"/>
  <tableColumns count="2">
    <tableColumn id="1" xr3:uid="{4411F21D-3BAF-4CFA-876D-47B262DF1706}" name="criteria" dataDxfId="33"/>
    <tableColumn id="3" xr3:uid="{12698DB6-A78E-4149-AB30-18F7BCC99812}" name="result" dataDxfId="32"/>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5C2832DF-ED41-4F67-B7BF-25C11A5BD03E}" name="MultipleLookupsTable" displayName="MultipleLookupsTable" ref="F9:G18" totalsRowShown="0" headerRowDxfId="31" dataDxfId="30">
  <autoFilter ref="F9:G18" xr:uid="{220339BC-ACB3-44CC-950C-A45129F08EE2}"/>
  <tableColumns count="2">
    <tableColumn id="1" xr3:uid="{A7BF8C27-47AF-4F23-9719-0D15F8E9A213}" name="criteria" dataDxfId="29"/>
    <tableColumn id="2" xr3:uid="{EFD715A7-119D-4B54-824D-8B53F8878533}" name="result" dataDxfId="28"/>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C3487171-E41C-4C82-A334-83A4F4BA8AB2}" name="multipleMatchLegacyTable" displayName="multipleMatchLegacyTable" ref="G10:J18" totalsRowShown="0">
  <autoFilter ref="G10:J18" xr:uid="{65B0FD7E-3596-4C95-B4D7-77981A2872E8}"/>
  <tableColumns count="4">
    <tableColumn id="1" xr3:uid="{23BDA0CB-1641-4999-9A3A-79A32ADCF5CE}" name="criteria1"/>
    <tableColumn id="2" xr3:uid="{11FDB4D5-5BE6-4B98-A111-5FFE52AA9EE5}" name="criteria2"/>
    <tableColumn id="3" xr3:uid="{D3C53C39-6A0E-4C58-BB8D-8A8FBEF5B6CC}" name="criteria3"/>
    <tableColumn id="4" xr3:uid="{643CE8C5-A301-472C-8595-545F13A69AC0}" name="result"/>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3A54C2A6-7F03-4BE4-9CF8-84F848AAE221}" name="multipleMatchNewTable" displayName="multipleMatchNewTable" ref="G9:J17" totalsRowShown="0">
  <autoFilter ref="G9:J17" xr:uid="{65B0FD7E-3596-4C95-B4D7-77981A2872E8}"/>
  <tableColumns count="4">
    <tableColumn id="1" xr3:uid="{7FE4648E-A061-4967-963B-7DB2B46EF413}" name="criteria1"/>
    <tableColumn id="2" xr3:uid="{88E6C489-31C8-49E9-BC13-84971EA8E5C2}" name="criteria2"/>
    <tableColumn id="3" xr3:uid="{64585A70-54B2-43F3-9F7D-394A7B1CDA22}" name="criteria3"/>
    <tableColumn id="4" xr3:uid="{F5C8FC21-A5F4-4C6C-81F6-738CC5D7EDF8}" name="result"/>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436F03A3-744E-4F80-A55B-F04E0786988E}" name="InexactNumericLookupTable" displayName="InexactNumericLookupTable" ref="A13:B18" totalsRowShown="0" headerRowDxfId="27" dataDxfId="26" tableBorderDxfId="25">
  <autoFilter ref="A13:B18" xr:uid="{436F03A3-744E-4F80-A55B-F04E0786988E}"/>
  <tableColumns count="2">
    <tableColumn id="1" xr3:uid="{A026CEAB-B2BB-4ACE-80AF-C3D8C6EBEF96}" name="Lookup" dataDxfId="24"/>
    <tableColumn id="2" xr3:uid="{7A14CD3C-7B81-4B25-B910-C8B193EAE403}" name="val" dataDxfId="23"/>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609C0A1B-9A75-4013-B5F9-C5441C996B0E}" name="InexactNumericLookupB" displayName="InexactNumericLookupB" ref="A16:B21" totalsRowShown="0" headerRowDxfId="22" dataDxfId="21" tableBorderDxfId="20">
  <autoFilter ref="A16:B21" xr:uid="{436F03A3-744E-4F80-A55B-F04E0786988E}"/>
  <tableColumns count="2">
    <tableColumn id="1" xr3:uid="{25D61942-71C1-457E-9263-5F0D62DE7EC9}" name="Lookup" dataDxfId="19"/>
    <tableColumn id="2" xr3:uid="{571D41E9-B395-4464-9C5C-65F35B239591}" name="val" dataDxfId="18"/>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D9929405-0A3C-4736-A53C-494EDBAEE15D}" name="MyTestTable3" displayName="MyTestTable3" ref="J6:O113" totalsRowShown="0">
  <autoFilter ref="J6:O113" xr:uid="{61DEE76D-3958-4070-A7B8-6DC0B8204531}"/>
  <tableColumns count="6">
    <tableColumn id="1" xr3:uid="{F3EE3F07-A9C3-43B0-BDDA-6BE9863AB238}" name="Field1"/>
    <tableColumn id="2" xr3:uid="{F53809DD-A467-43D2-9A58-4BFEFBFB0CC3}" name="Field2"/>
    <tableColumn id="3" xr3:uid="{BC1ECE65-0A20-4CB4-B5BF-D5E1BD92536A}" name="Field3"/>
    <tableColumn id="4" xr3:uid="{2ADC0CEF-A199-4045-A7E6-2B2A63E3CBB0}" name="order"/>
    <tableColumn id="5" xr3:uid="{157B37EE-61BE-465E-B585-CDC806AECADE}" name="lookup" dataDxfId="17"/>
    <tableColumn id="6" xr3:uid="{56D36B72-62C5-4539-BE89-DE7759FD0CA0}" name="val" dataDxfId="16"/>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AB26D6E-80BC-4E42-9F96-3D5D06CD0640}" name="MyTestTable9" displayName="MyTestTable9" ref="J12:O119" totalsRowShown="0">
  <autoFilter ref="J12:O119" xr:uid="{61DEE76D-3958-4070-A7B8-6DC0B8204531}"/>
  <tableColumns count="6">
    <tableColumn id="1" xr3:uid="{C46C8B98-AEDB-4307-94F8-E1C2E496ECBF}" name="Field1"/>
    <tableColumn id="2" xr3:uid="{63EED559-2FED-4DA2-B7E2-78FB73303481}" name="Field2"/>
    <tableColumn id="3" xr3:uid="{F36356F5-7522-42B3-B863-F82A0574CB95}" name="Field3"/>
    <tableColumn id="4" xr3:uid="{3D4A0CDC-B8DE-49BD-9591-314CDD52CD55}" name="order"/>
    <tableColumn id="5" xr3:uid="{7C8D0681-C459-4D1A-BD8A-C26339482414}" name="lookup" dataDxfId="15"/>
    <tableColumn id="6" xr3:uid="{447758C4-FA95-459D-88D3-3BD1CA9BBD35}" name="val" dataDxfId="14"/>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20B80E13-CEAF-465B-BE91-072A69F43F37}" name="MyTestTable11" displayName="MyTestTable11" ref="L6:Q113" totalsRowShown="0">
  <autoFilter ref="L6:Q113" xr:uid="{61DEE76D-3958-4070-A7B8-6DC0B8204531}"/>
  <tableColumns count="6">
    <tableColumn id="1" xr3:uid="{CEE12B12-B4B4-42B6-B74C-322ED20FD8A1}" name="Field1"/>
    <tableColumn id="2" xr3:uid="{9803B372-178E-43BF-81B4-C66A89065023}" name="Field2"/>
    <tableColumn id="3" xr3:uid="{5752ADF9-4202-4C27-A698-2DD734807C3F}" name="Field3"/>
    <tableColumn id="4" xr3:uid="{3720DA3D-5B9B-4131-BC7C-78E38ACFCBD1}" name="order"/>
    <tableColumn id="5" xr3:uid="{03FEB73E-A0E4-437D-A56B-A993A700CADE}" name="lookup" dataDxfId="13"/>
    <tableColumn id="6" xr3:uid="{B4AE96E1-C468-4E48-AE4F-A60BC0FE750E}" name="val" dataDxfId="12"/>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6B7AF9CF-3445-4F80-A262-6AE5F1DA6790}" name="MyTestTable15" displayName="MyTestTable15" ref="N6:S113" totalsRowShown="0">
  <autoFilter ref="N6:S113" xr:uid="{61DEE76D-3958-4070-A7B8-6DC0B8204531}"/>
  <tableColumns count="6">
    <tableColumn id="1" xr3:uid="{6963C930-DB4C-46A4-9498-5A0BAAF4E2D1}" name="Field1"/>
    <tableColumn id="2" xr3:uid="{B2CAB22D-2B07-4F9F-B74F-DE25A6D63AFD}" name="Field2"/>
    <tableColumn id="3" xr3:uid="{2BB27E2A-A632-47D5-962F-18795556391C}" name="Field3"/>
    <tableColumn id="4" xr3:uid="{AEEB0D93-6528-4A43-B4F1-AD2062E72638}" name="order"/>
    <tableColumn id="5" xr3:uid="{A5A93B23-D54E-4C27-B141-ED6A099C394C}" name="lookup" dataDxfId="11"/>
    <tableColumn id="6" xr3:uid="{0C1D6408-5759-4A9E-95F6-5FFD4446A173}" name="val" dataDxfId="10"/>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D5233CF1-7692-4BEA-AB4F-28CA982AA144}" name="MyTestTableD" displayName="MyTestTableD" ref="P5:U112" totalsRowShown="0">
  <autoFilter ref="P5:U112" xr:uid="{61DEE76D-3958-4070-A7B8-6DC0B8204531}"/>
  <tableColumns count="6">
    <tableColumn id="1" xr3:uid="{09CDD9DF-7A89-4276-8A28-21A3DA3470FD}" name="Field1"/>
    <tableColumn id="2" xr3:uid="{D94D70C8-DD43-46B8-8C27-94631864200C}" name="Field2"/>
    <tableColumn id="3" xr3:uid="{59A648AE-A044-44CE-AF31-B372F341731A}" name="Field3"/>
    <tableColumn id="4" xr3:uid="{963D8254-D7AF-4422-92BB-CDCAEAFEF973}" name="order"/>
    <tableColumn id="5" xr3:uid="{9D40E6A8-DC86-404D-AABA-12139349F988}" name="lookup" dataDxfId="9"/>
    <tableColumn id="6" xr3:uid="{8AFC76EE-2A11-4375-B79B-5CD9FA9675C5}" name="val" dataDxfId="8"/>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8B94854B-A194-4274-A83E-E79A3B7C1AB6}" name="MyTestTable17" displayName="MyTestTable17" ref="L4:Q111" totalsRowShown="0">
  <autoFilter ref="L4:Q111" xr:uid="{61DEE76D-3958-4070-A7B8-6DC0B8204531}"/>
  <tableColumns count="6">
    <tableColumn id="1" xr3:uid="{05F3240E-A3C6-4EFE-B6E7-12CD95780BAD}" name="Field1"/>
    <tableColumn id="2" xr3:uid="{88AF02D4-FF59-4DB9-9393-602C65A72E73}" name="Field2"/>
    <tableColumn id="3" xr3:uid="{7B24C410-76F4-4651-B6FB-7A45CB04818C}" name="Field3"/>
    <tableColumn id="4" xr3:uid="{40146A6E-5BA9-4CAF-A157-0E4328C720FD}" name="order"/>
    <tableColumn id="5" xr3:uid="{4433E9DA-4741-42CE-9722-F02D17A8703C}" name="lookup" dataDxfId="7"/>
    <tableColumn id="6" xr3:uid="{B8511657-8CE6-4E07-962C-FAE85CD73A80}" name="val" dataDxfId="6"/>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89D94C55-7747-47C3-8AD2-9311C17F7E1A}" name="MyTestTable18" displayName="MyTestTable18" ref="M5:R112" totalsRowShown="0">
  <autoFilter ref="M5:R112" xr:uid="{61DEE76D-3958-4070-A7B8-6DC0B8204531}"/>
  <tableColumns count="6">
    <tableColumn id="1" xr3:uid="{5F832C2B-7B85-4F06-B55A-29501BACF19B}" name="Field1"/>
    <tableColumn id="2" xr3:uid="{4D09ECB9-496F-476A-B9CF-6982D23F29B2}" name="Field2"/>
    <tableColumn id="3" xr3:uid="{17572B6D-9480-4F2F-BA63-B867B8DCF126}" name="Field3"/>
    <tableColumn id="4" xr3:uid="{48A77181-6393-441F-BB0E-4627B5FC4A8B}" name="order"/>
    <tableColumn id="5" xr3:uid="{826CDE6F-5B0B-4087-BC79-E2D33DD03FC5}" name="lookup" dataDxfId="5"/>
    <tableColumn id="6" xr3:uid="{BDD9A076-F43E-42DD-8ECB-3101D1D48B92}" name="val" dataDxfId="4"/>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0575FF7B-120B-4DE8-B0ED-29EA4CB387D0}" name="MyTestTable10" displayName="MyTestTable10" ref="M4:R111" totalsRowShown="0">
  <autoFilter ref="M4:R111" xr:uid="{61DEE76D-3958-4070-A7B8-6DC0B8204531}"/>
  <tableColumns count="6">
    <tableColumn id="1" xr3:uid="{E109E2DB-2935-4586-958F-A10C3406B25C}" name="Field1"/>
    <tableColumn id="2" xr3:uid="{17D4A956-DC38-40AF-899A-4E3B996CF6D8}" name="Field2"/>
    <tableColumn id="3" xr3:uid="{5C775208-E881-41D4-ADCC-7DB77700267B}" name="Field3"/>
    <tableColumn id="4" xr3:uid="{50F1753B-72D5-4E47-8655-B2042C8EB010}" name="order"/>
    <tableColumn id="5" xr3:uid="{FA7686E3-A4AB-41AE-9D46-798875BABF12}" name="lookup" dataDxfId="3"/>
    <tableColumn id="6" xr3:uid="{1BB9B88F-0271-43F5-96EB-2C938ACFB5DD}" name="val" dataDxfId="2"/>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61DEE76D-3958-4070-A7B8-6DC0B8204531}" name="MyTestTable" displayName="MyTestTable" ref="L4:Q111" totalsRowShown="0">
  <autoFilter ref="L4:Q111" xr:uid="{61DEE76D-3958-4070-A7B8-6DC0B8204531}"/>
  <tableColumns count="6">
    <tableColumn id="1" xr3:uid="{448F5E87-4E99-46D4-8ABD-860538A407B1}" name="Field1"/>
    <tableColumn id="2" xr3:uid="{8A1335C0-610A-4F16-BEDA-23F680854FCE}" name="Field2"/>
    <tableColumn id="3" xr3:uid="{2263BDFB-2F57-420D-8855-8730582CDC57}" name="Field3"/>
    <tableColumn id="4" xr3:uid="{5883486E-D9EA-4D56-84E4-D4D06FE141E2}" name="order"/>
    <tableColumn id="5" xr3:uid="{30C7EA4E-B2E1-47FD-BA13-0F5BC5F23683}" name="lookup" dataDxfId="1"/>
    <tableColumn id="6" xr3:uid="{119FDA9D-0B8C-4900-B958-B5140E8995F6}" name="val"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drawing" Target="../drawings/drawing5.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drawing" Target="../drawings/drawing6.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drawing" Target="../drawings/drawing7.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drawing" Target="../drawings/drawing8.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9.x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drawing" Target="../drawings/drawing10.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2" Type="http://schemas.openxmlformats.org/officeDocument/2006/relationships/table" Target="../tables/table11.xml"/><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3" Type="http://schemas.openxmlformats.org/officeDocument/2006/relationships/table" Target="../tables/table14.xml"/><Relationship Id="rId2" Type="http://schemas.openxmlformats.org/officeDocument/2006/relationships/vmlDrawing" Target="../drawings/vmlDrawing1.vml"/><Relationship Id="rId1" Type="http://schemas.openxmlformats.org/officeDocument/2006/relationships/printerSettings" Target="../printerSettings/printerSettings14.bin"/><Relationship Id="rId4" Type="http://schemas.openxmlformats.org/officeDocument/2006/relationships/comments" Target="../comments1.xml"/></Relationships>
</file>

<file path=xl/worksheets/_rels/sheet16.xml.rels><?xml version="1.0" encoding="UTF-8" standalone="yes"?>
<Relationships xmlns="http://schemas.openxmlformats.org/package/2006/relationships"><Relationship Id="rId2" Type="http://schemas.openxmlformats.org/officeDocument/2006/relationships/table" Target="../tables/table15.xml"/><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2" Type="http://schemas.openxmlformats.org/officeDocument/2006/relationships/table" Target="../tables/table17.xml"/><Relationship Id="rId1" Type="http://schemas.openxmlformats.org/officeDocument/2006/relationships/printerSettings" Target="../printerSettings/printerSettings17.bin"/></Relationships>
</file>

<file path=xl/worksheets/_rels/sheet19.xml.rels><?xml version="1.0" encoding="UTF-8" standalone="yes"?>
<Relationships xmlns="http://schemas.openxmlformats.org/package/2006/relationships"><Relationship Id="rId3" Type="http://schemas.openxmlformats.org/officeDocument/2006/relationships/table" Target="../tables/table18.xml"/><Relationship Id="rId2" Type="http://schemas.openxmlformats.org/officeDocument/2006/relationships/drawing" Target="../drawings/drawing11.xml"/><Relationship Id="rId1" Type="http://schemas.openxmlformats.org/officeDocument/2006/relationships/printerSettings" Target="../printerSettings/printerSettings1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59586F-08D0-4A51-A195-3A39825A839B}">
  <sheetPr codeName="Sheet3"/>
  <dimension ref="A1"/>
  <sheetViews>
    <sheetView tabSelected="1" workbookViewId="0">
      <selection activeCell="K6" sqref="K6"/>
    </sheetView>
  </sheetViews>
  <sheetFormatPr defaultRowHeight="14.5" x14ac:dyDescent="0.35"/>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F52A20-D566-42CE-8484-6BB79B789363}">
  <sheetPr codeName="Sheet4"/>
  <dimension ref="A1:K36"/>
  <sheetViews>
    <sheetView topLeftCell="A4" workbookViewId="0">
      <selection activeCell="D13" sqref="D13"/>
    </sheetView>
  </sheetViews>
  <sheetFormatPr defaultRowHeight="14.5" x14ac:dyDescent="0.35"/>
  <cols>
    <col min="2" max="2" width="18.1796875" customWidth="1"/>
    <col min="3" max="3" width="12.81640625" customWidth="1"/>
    <col min="4" max="4" width="14.7265625" customWidth="1"/>
    <col min="5" max="5" width="11.7265625" customWidth="1"/>
    <col min="14" max="16" width="9.54296875" customWidth="1"/>
  </cols>
  <sheetData>
    <row r="1" spans="1:11" hidden="1" x14ac:dyDescent="0.35">
      <c r="A1" t="s">
        <v>80</v>
      </c>
      <c r="B1" t="s">
        <v>81</v>
      </c>
    </row>
    <row r="2" spans="1:11" hidden="1" x14ac:dyDescent="0.35">
      <c r="A2" t="s">
        <v>80</v>
      </c>
    </row>
    <row r="3" spans="1:11" hidden="1" x14ac:dyDescent="0.35">
      <c r="A3" t="s">
        <v>80</v>
      </c>
    </row>
    <row r="4" spans="1:11" x14ac:dyDescent="0.35">
      <c r="B4" s="5" t="s">
        <v>84</v>
      </c>
      <c r="J4" t="s">
        <v>44</v>
      </c>
      <c r="K4" t="s">
        <v>296</v>
      </c>
    </row>
    <row r="5" spans="1:11" x14ac:dyDescent="0.35">
      <c r="B5" t="s">
        <v>85</v>
      </c>
      <c r="J5" t="s">
        <v>1</v>
      </c>
      <c r="K5" t="s">
        <v>48</v>
      </c>
    </row>
    <row r="6" spans="1:11" x14ac:dyDescent="0.35">
      <c r="B6" t="s">
        <v>118</v>
      </c>
      <c r="J6" t="s">
        <v>2</v>
      </c>
      <c r="K6" t="s">
        <v>28</v>
      </c>
    </row>
    <row r="7" spans="1:11" x14ac:dyDescent="0.35">
      <c r="J7" t="s">
        <v>40</v>
      </c>
      <c r="K7" t="s">
        <v>29</v>
      </c>
    </row>
    <row r="8" spans="1:11" x14ac:dyDescent="0.35">
      <c r="B8" t="s">
        <v>44</v>
      </c>
      <c r="C8" s="10" t="s">
        <v>2</v>
      </c>
      <c r="J8" t="s">
        <v>41</v>
      </c>
      <c r="K8" t="s">
        <v>30</v>
      </c>
    </row>
    <row r="9" spans="1:11" x14ac:dyDescent="0.35">
      <c r="J9" t="s">
        <v>42</v>
      </c>
      <c r="K9" t="s">
        <v>31</v>
      </c>
    </row>
    <row r="10" spans="1:11" x14ac:dyDescent="0.35">
      <c r="B10" t="s">
        <v>50</v>
      </c>
      <c r="C10" s="11" t="str">
        <f>INDEX(myschema.singleCriteriaTableA[answer],MATCH(C8,myschema.singleCriteriaTableA[criteria],1))</f>
        <v>apple</v>
      </c>
      <c r="J10" t="s">
        <v>43</v>
      </c>
      <c r="K10" t="s">
        <v>32</v>
      </c>
    </row>
    <row r="11" spans="1:11" x14ac:dyDescent="0.35">
      <c r="B11" t="s">
        <v>9</v>
      </c>
      <c r="C11" t="str" cm="1">
        <f t="array" ref="C11">singleCriteriaInexact(C8)</f>
        <v>apple</v>
      </c>
      <c r="J11" t="s">
        <v>45</v>
      </c>
      <c r="K11" t="s">
        <v>33</v>
      </c>
    </row>
    <row r="12" spans="1:11" x14ac:dyDescent="0.35">
      <c r="J12" t="s">
        <v>46</v>
      </c>
      <c r="K12" t="s">
        <v>34</v>
      </c>
    </row>
    <row r="13" spans="1:11" x14ac:dyDescent="0.35">
      <c r="J13" t="s">
        <v>47</v>
      </c>
      <c r="K13" t="s">
        <v>35</v>
      </c>
    </row>
    <row r="14" spans="1:11" x14ac:dyDescent="0.35">
      <c r="B14" s="5" t="s">
        <v>88</v>
      </c>
    </row>
    <row r="15" spans="1:11" x14ac:dyDescent="0.35">
      <c r="B15" s="7" t="s">
        <v>75</v>
      </c>
      <c r="C15" s="7" t="s">
        <v>76</v>
      </c>
      <c r="D15" s="7" t="s">
        <v>77</v>
      </c>
      <c r="E15" s="7" t="s">
        <v>78</v>
      </c>
    </row>
    <row r="16" spans="1:11" x14ac:dyDescent="0.35">
      <c r="B16" t="s">
        <v>44</v>
      </c>
      <c r="C16" t="s">
        <v>50</v>
      </c>
      <c r="D16" t="s">
        <v>50</v>
      </c>
      <c r="E16" t="s">
        <v>50</v>
      </c>
      <c r="G16" t="s">
        <v>79</v>
      </c>
      <c r="H16">
        <f>SUM(E17:E31)</f>
        <v>0</v>
      </c>
    </row>
    <row r="17" spans="2:5" x14ac:dyDescent="0.35">
      <c r="B17" s="9" t="s">
        <v>1</v>
      </c>
      <c r="C17" t="s">
        <v>48</v>
      </c>
      <c r="D17" t="str">
        <f>singleCriteriaInexact(B17)</f>
        <v>lemon</v>
      </c>
      <c r="E17">
        <f>IF(C17 = D17,0,1)</f>
        <v>0</v>
      </c>
    </row>
    <row r="18" spans="2:5" x14ac:dyDescent="0.35">
      <c r="B18" s="9" t="s">
        <v>2</v>
      </c>
      <c r="C18" t="s">
        <v>28</v>
      </c>
      <c r="D18" t="str">
        <f>singleCriteriaInexact(B18)</f>
        <v>apple</v>
      </c>
      <c r="E18">
        <f>IF(C18 = D18,0,1)</f>
        <v>0</v>
      </c>
    </row>
    <row r="19" spans="2:5" x14ac:dyDescent="0.35">
      <c r="B19" s="9" t="s">
        <v>70</v>
      </c>
      <c r="C19" t="s">
        <v>28</v>
      </c>
      <c r="D19" t="str">
        <f>singleCriteriaInexact(B19)</f>
        <v>apple</v>
      </c>
      <c r="E19">
        <f>IF(C19 = D19,0,1)</f>
        <v>0</v>
      </c>
    </row>
    <row r="20" spans="2:5" x14ac:dyDescent="0.35">
      <c r="B20" s="9" t="s">
        <v>40</v>
      </c>
      <c r="C20" t="s">
        <v>29</v>
      </c>
      <c r="D20" t="str">
        <f>singleCriteriaInexact(B20)</f>
        <v>orange</v>
      </c>
      <c r="E20">
        <f>IF(C20 = D20,0,1)</f>
        <v>0</v>
      </c>
    </row>
    <row r="21" spans="2:5" x14ac:dyDescent="0.35">
      <c r="B21" s="9" t="s">
        <v>41</v>
      </c>
      <c r="C21" t="s">
        <v>30</v>
      </c>
      <c r="D21" t="str">
        <f>singleCriteriaInexact(B21)</f>
        <v>banana</v>
      </c>
      <c r="E21">
        <f>IF(C21 = D21,0,1)</f>
        <v>0</v>
      </c>
    </row>
    <row r="22" spans="2:5" x14ac:dyDescent="0.35">
      <c r="B22" s="9" t="s">
        <v>71</v>
      </c>
      <c r="C22" t="s">
        <v>30</v>
      </c>
      <c r="D22" t="str">
        <f>singleCriteriaInexact(B22)</f>
        <v>banana</v>
      </c>
      <c r="E22">
        <f>IF(C22 = D22,0,1)</f>
        <v>0</v>
      </c>
    </row>
    <row r="23" spans="2:5" x14ac:dyDescent="0.35">
      <c r="B23" s="9" t="s">
        <v>42</v>
      </c>
      <c r="C23" t="s">
        <v>31</v>
      </c>
      <c r="D23" t="str">
        <f>singleCriteriaInexact(B23)</f>
        <v>pineapple</v>
      </c>
      <c r="E23">
        <f>IF(C23 = D23,0,1)</f>
        <v>0</v>
      </c>
    </row>
    <row r="24" spans="2:5" x14ac:dyDescent="0.35">
      <c r="B24" s="9" t="s">
        <v>43</v>
      </c>
      <c r="C24" t="s">
        <v>32</v>
      </c>
      <c r="D24" t="str">
        <f>singleCriteriaInexact(B24)</f>
        <v>carrot</v>
      </c>
      <c r="E24">
        <f>IF(C24 = D24,0,1)</f>
        <v>0</v>
      </c>
    </row>
    <row r="25" spans="2:5" x14ac:dyDescent="0.35">
      <c r="B25" s="9" t="s">
        <v>72</v>
      </c>
      <c r="C25" t="s">
        <v>32</v>
      </c>
      <c r="D25" t="str">
        <f>singleCriteriaInexact(B25)</f>
        <v>carrot</v>
      </c>
      <c r="E25">
        <f>IF(C25 = D25,0,1)</f>
        <v>0</v>
      </c>
    </row>
    <row r="26" spans="2:5" x14ac:dyDescent="0.35">
      <c r="B26" s="9" t="s">
        <v>45</v>
      </c>
      <c r="C26" t="s">
        <v>33</v>
      </c>
      <c r="D26" t="str">
        <f>singleCriteriaInexact(B26)</f>
        <v>eggplant</v>
      </c>
      <c r="E26">
        <f>IF(C26 = D26,0,1)</f>
        <v>0</v>
      </c>
    </row>
    <row r="27" spans="2:5" x14ac:dyDescent="0.35">
      <c r="B27" s="9" t="s">
        <v>46</v>
      </c>
      <c r="C27" t="s">
        <v>34</v>
      </c>
      <c r="D27" t="str">
        <f>singleCriteriaInexact(B27)</f>
        <v>tomato</v>
      </c>
      <c r="E27">
        <f>IF(C27 = D27,0,1)</f>
        <v>0</v>
      </c>
    </row>
    <row r="28" spans="2:5" x14ac:dyDescent="0.35">
      <c r="B28" s="9" t="s">
        <v>69</v>
      </c>
      <c r="C28" t="s">
        <v>34</v>
      </c>
      <c r="D28" t="str">
        <f>singleCriteriaInexact(B28)</f>
        <v>tomato</v>
      </c>
      <c r="E28">
        <f>IF(C28 = D28,0,1)</f>
        <v>0</v>
      </c>
    </row>
    <row r="29" spans="2:5" x14ac:dyDescent="0.35">
      <c r="B29" s="9" t="s">
        <v>73</v>
      </c>
      <c r="C29" t="s">
        <v>34</v>
      </c>
      <c r="D29" t="str">
        <f>singleCriteriaInexact(B29)</f>
        <v>tomato</v>
      </c>
      <c r="E29">
        <f>IF(C29 = D29,0,1)</f>
        <v>0</v>
      </c>
    </row>
    <row r="30" spans="2:5" x14ac:dyDescent="0.35">
      <c r="B30" s="9" t="s">
        <v>47</v>
      </c>
      <c r="C30" t="s">
        <v>35</v>
      </c>
      <c r="D30" t="str">
        <f>singleCriteriaInexact(B30)</f>
        <v>asparagus</v>
      </c>
      <c r="E30">
        <f>IF(C30 = D30,0,1)</f>
        <v>0</v>
      </c>
    </row>
    <row r="31" spans="2:5" x14ac:dyDescent="0.35">
      <c r="B31" s="9" t="s">
        <v>62</v>
      </c>
      <c r="C31" t="s">
        <v>35</v>
      </c>
      <c r="D31" t="str">
        <f>singleCriteriaInexact(B31)</f>
        <v>asparagus</v>
      </c>
      <c r="E31">
        <f>IF(C31 = D31,0,1)</f>
        <v>0</v>
      </c>
    </row>
    <row r="34" spans="2:7" x14ac:dyDescent="0.35">
      <c r="B34" s="5" t="s">
        <v>91</v>
      </c>
    </row>
    <row r="35" spans="2:7" x14ac:dyDescent="0.35">
      <c r="B35" t="s">
        <v>0</v>
      </c>
      <c r="C35" t="e">
        <v>#N/A</v>
      </c>
      <c r="D35" t="str">
        <f>singleCriteriaInexact(B35)</f>
        <v>lemon</v>
      </c>
      <c r="E35">
        <v>1</v>
      </c>
      <c r="G35" t="s">
        <v>89</v>
      </c>
    </row>
    <row r="36" spans="2:7" x14ac:dyDescent="0.35">
      <c r="B36" t="s">
        <v>87</v>
      </c>
      <c r="C36" t="s">
        <v>28</v>
      </c>
      <c r="D36" t="str">
        <f>singleCriteriaInexact(B36)</f>
        <v>lemon</v>
      </c>
      <c r="E36">
        <v>1</v>
      </c>
      <c r="G36" t="s">
        <v>90</v>
      </c>
    </row>
  </sheetData>
  <pageMargins left="0.7" right="0.7" top="0.75" bottom="0.75" header="0.3" footer="0.3"/>
  <pageSetup orientation="portrait" r:id="rId1"/>
  <drawing r:id="rId2"/>
  <tableParts count="1">
    <tablePart r:id="rId3"/>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62A984-E5C2-4508-9584-BEA52DDDCBAA}">
  <sheetPr codeName="Sheet6"/>
  <dimension ref="A1:M54"/>
  <sheetViews>
    <sheetView topLeftCell="A11" workbookViewId="0">
      <selection activeCell="K7" sqref="K7"/>
    </sheetView>
  </sheetViews>
  <sheetFormatPr defaultRowHeight="14.5" x14ac:dyDescent="0.35"/>
  <cols>
    <col min="2" max="2" width="25.1796875" customWidth="1"/>
    <col min="3" max="3" width="12.81640625" customWidth="1"/>
    <col min="4" max="4" width="14.7265625" customWidth="1"/>
    <col min="5" max="5" width="11.7265625" customWidth="1"/>
    <col min="11" max="11" width="10.26953125" customWidth="1"/>
    <col min="14" max="16" width="9.54296875" customWidth="1"/>
  </cols>
  <sheetData>
    <row r="1" spans="1:13" hidden="1" x14ac:dyDescent="0.35">
      <c r="A1" t="s">
        <v>80</v>
      </c>
      <c r="B1" t="s">
        <v>81</v>
      </c>
    </row>
    <row r="2" spans="1:13" hidden="1" x14ac:dyDescent="0.35">
      <c r="A2" t="s">
        <v>80</v>
      </c>
    </row>
    <row r="3" spans="1:13" hidden="1" x14ac:dyDescent="0.35">
      <c r="A3" t="s">
        <v>80</v>
      </c>
    </row>
    <row r="5" spans="1:13" x14ac:dyDescent="0.35">
      <c r="B5" s="5" t="s">
        <v>99</v>
      </c>
    </row>
    <row r="6" spans="1:13" x14ac:dyDescent="0.35">
      <c r="B6" t="s">
        <v>100</v>
      </c>
      <c r="J6" t="s">
        <v>44</v>
      </c>
      <c r="K6" t="s">
        <v>297</v>
      </c>
      <c r="M6" t="s">
        <v>105</v>
      </c>
    </row>
    <row r="7" spans="1:13" x14ac:dyDescent="0.35">
      <c r="B7" t="s">
        <v>104</v>
      </c>
      <c r="J7" t="s">
        <v>86</v>
      </c>
      <c r="K7" t="s">
        <v>48</v>
      </c>
    </row>
    <row r="8" spans="1:13" x14ac:dyDescent="0.35">
      <c r="J8" t="s">
        <v>87</v>
      </c>
      <c r="K8" t="s">
        <v>28</v>
      </c>
    </row>
    <row r="9" spans="1:13" x14ac:dyDescent="0.35">
      <c r="B9" t="s">
        <v>44</v>
      </c>
      <c r="C9" s="12" t="s">
        <v>1</v>
      </c>
      <c r="J9" t="s">
        <v>93</v>
      </c>
      <c r="K9" t="s">
        <v>29</v>
      </c>
    </row>
    <row r="10" spans="1:13" x14ac:dyDescent="0.35">
      <c r="J10" t="s">
        <v>94</v>
      </c>
      <c r="K10" t="s">
        <v>30</v>
      </c>
    </row>
    <row r="11" spans="1:13" x14ac:dyDescent="0.35">
      <c r="B11" t="s">
        <v>103</v>
      </c>
      <c r="C11" t="str">
        <f>UPPER(Input_criteria)</f>
        <v>B</v>
      </c>
      <c r="J11" t="s">
        <v>82</v>
      </c>
      <c r="K11" t="s">
        <v>31</v>
      </c>
    </row>
    <row r="12" spans="1:13" x14ac:dyDescent="0.35">
      <c r="J12" t="s">
        <v>95</v>
      </c>
      <c r="K12" t="s">
        <v>32</v>
      </c>
    </row>
    <row r="13" spans="1:13" x14ac:dyDescent="0.35">
      <c r="B13" t="s">
        <v>92</v>
      </c>
      <c r="C13" s="11" t="str">
        <f>IF(C11&lt;J7,K7,INDEX(singleCriteriaTableC[answer2],MATCH(C11,singleCriteriaTableC[criteria],1)))</f>
        <v>lemon</v>
      </c>
      <c r="J13" t="s">
        <v>96</v>
      </c>
      <c r="K13" t="s">
        <v>33</v>
      </c>
    </row>
    <row r="14" spans="1:13" x14ac:dyDescent="0.35">
      <c r="B14" t="s">
        <v>9</v>
      </c>
      <c r="C14" t="str" cm="1">
        <f t="array" ref="C14">singleCriteriaInexact(C9)</f>
        <v>lemon</v>
      </c>
      <c r="J14" t="s">
        <v>97</v>
      </c>
      <c r="K14" t="s">
        <v>34</v>
      </c>
    </row>
    <row r="15" spans="1:13" x14ac:dyDescent="0.35">
      <c r="J15" t="s">
        <v>98</v>
      </c>
      <c r="K15" t="s">
        <v>35</v>
      </c>
    </row>
    <row r="16" spans="1:13" x14ac:dyDescent="0.35">
      <c r="B16" s="5" t="s">
        <v>88</v>
      </c>
    </row>
    <row r="17" spans="2:8" x14ac:dyDescent="0.35">
      <c r="B17" s="7" t="s">
        <v>75</v>
      </c>
      <c r="C17" s="7" t="s">
        <v>76</v>
      </c>
      <c r="D17" s="7" t="s">
        <v>77</v>
      </c>
      <c r="E17" s="7" t="s">
        <v>78</v>
      </c>
    </row>
    <row r="18" spans="2:8" x14ac:dyDescent="0.35">
      <c r="B18" t="s">
        <v>44</v>
      </c>
      <c r="C18" t="s">
        <v>92</v>
      </c>
      <c r="D18" t="s">
        <v>92</v>
      </c>
      <c r="E18" t="s">
        <v>92</v>
      </c>
      <c r="G18" t="s">
        <v>79</v>
      </c>
      <c r="H18">
        <f>SUM(E19:E54)</f>
        <v>0</v>
      </c>
    </row>
    <row r="19" spans="2:8" x14ac:dyDescent="0.35">
      <c r="B19" s="8" t="s">
        <v>0</v>
      </c>
      <c r="C19" t="s">
        <v>48</v>
      </c>
      <c r="D19" t="str">
        <f>singleCriteriaInexactSafe(B19)</f>
        <v>lemon</v>
      </c>
      <c r="E19">
        <f>IF(C19 = D19,0,1)</f>
        <v>0</v>
      </c>
    </row>
    <row r="20" spans="2:8" x14ac:dyDescent="0.35">
      <c r="B20" s="9" t="s">
        <v>1</v>
      </c>
      <c r="C20" t="s">
        <v>48</v>
      </c>
      <c r="D20" t="str">
        <f>singleCriteriaInexactSafe(B20)</f>
        <v>lemon</v>
      </c>
      <c r="E20">
        <f>IF(C20 = D20,0,1)</f>
        <v>0</v>
      </c>
    </row>
    <row r="21" spans="2:8" x14ac:dyDescent="0.35">
      <c r="B21" s="9" t="s">
        <v>2</v>
      </c>
      <c r="C21" t="s">
        <v>28</v>
      </c>
      <c r="D21" t="str">
        <f>singleCriteriaInexactSafe(B21)</f>
        <v>apple</v>
      </c>
      <c r="E21">
        <f>IF(C21 = D21,0,1)</f>
        <v>0</v>
      </c>
    </row>
    <row r="22" spans="2:8" x14ac:dyDescent="0.35">
      <c r="B22" s="9" t="s">
        <v>70</v>
      </c>
      <c r="C22" t="s">
        <v>28</v>
      </c>
      <c r="D22" t="str">
        <f>singleCriteriaInexactSafe(B22)</f>
        <v>apple</v>
      </c>
      <c r="E22">
        <f>IF(C22 = D22,0,1)</f>
        <v>0</v>
      </c>
    </row>
    <row r="23" spans="2:8" x14ac:dyDescent="0.35">
      <c r="B23" s="9" t="s">
        <v>40</v>
      </c>
      <c r="C23" t="s">
        <v>29</v>
      </c>
      <c r="D23" t="str">
        <f>singleCriteriaInexactSafe(B23)</f>
        <v>orange</v>
      </c>
      <c r="E23">
        <f>IF(C23 = D23,0,1)</f>
        <v>0</v>
      </c>
    </row>
    <row r="24" spans="2:8" x14ac:dyDescent="0.35">
      <c r="B24" s="9" t="s">
        <v>41</v>
      </c>
      <c r="C24" t="s">
        <v>30</v>
      </c>
      <c r="D24" t="str">
        <f>singleCriteriaInexactSafe(B24)</f>
        <v>banana</v>
      </c>
      <c r="E24">
        <f>IF(C24 = D24,0,1)</f>
        <v>0</v>
      </c>
    </row>
    <row r="25" spans="2:8" x14ac:dyDescent="0.35">
      <c r="B25" s="9" t="s">
        <v>71</v>
      </c>
      <c r="C25" t="s">
        <v>30</v>
      </c>
      <c r="D25" t="str">
        <f>singleCriteriaInexactSafe(B25)</f>
        <v>banana</v>
      </c>
      <c r="E25">
        <f>IF(C25 = D25,0,1)</f>
        <v>0</v>
      </c>
    </row>
    <row r="26" spans="2:8" x14ac:dyDescent="0.35">
      <c r="B26" s="9" t="s">
        <v>42</v>
      </c>
      <c r="C26" t="s">
        <v>31</v>
      </c>
      <c r="D26" t="str">
        <f>singleCriteriaInexactSafe(B26)</f>
        <v>pineapple</v>
      </c>
      <c r="E26">
        <f>IF(C26 = D26,0,1)</f>
        <v>0</v>
      </c>
    </row>
    <row r="27" spans="2:8" x14ac:dyDescent="0.35">
      <c r="B27" s="9" t="s">
        <v>43</v>
      </c>
      <c r="C27" t="s">
        <v>32</v>
      </c>
      <c r="D27" t="str">
        <f>singleCriteriaInexactSafe(B27)</f>
        <v>carrot</v>
      </c>
      <c r="E27">
        <f>IF(C27 = D27,0,1)</f>
        <v>0</v>
      </c>
    </row>
    <row r="28" spans="2:8" x14ac:dyDescent="0.35">
      <c r="B28" s="9" t="s">
        <v>72</v>
      </c>
      <c r="C28" t="s">
        <v>32</v>
      </c>
      <c r="D28" t="str">
        <f>singleCriteriaInexactSafe(B28)</f>
        <v>carrot</v>
      </c>
      <c r="E28">
        <f>IF(C28 = D28,0,1)</f>
        <v>0</v>
      </c>
    </row>
    <row r="29" spans="2:8" x14ac:dyDescent="0.35">
      <c r="B29" s="9" t="s">
        <v>45</v>
      </c>
      <c r="C29" t="s">
        <v>33</v>
      </c>
      <c r="D29" t="str">
        <f>singleCriteriaInexactSafe(B29)</f>
        <v>eggplant</v>
      </c>
      <c r="E29">
        <f>IF(C29 = D29,0,1)</f>
        <v>0</v>
      </c>
    </row>
    <row r="30" spans="2:8" x14ac:dyDescent="0.35">
      <c r="B30" s="9" t="s">
        <v>46</v>
      </c>
      <c r="C30" t="s">
        <v>34</v>
      </c>
      <c r="D30" t="str">
        <f>singleCriteriaInexactSafe(B30)</f>
        <v>tomato</v>
      </c>
      <c r="E30">
        <f>IF(C30 = D30,0,1)</f>
        <v>0</v>
      </c>
    </row>
    <row r="31" spans="2:8" x14ac:dyDescent="0.35">
      <c r="B31" s="9" t="s">
        <v>69</v>
      </c>
      <c r="C31" t="s">
        <v>34</v>
      </c>
      <c r="D31" t="str">
        <f>singleCriteriaInexactSafe(B31)</f>
        <v>tomato</v>
      </c>
      <c r="E31">
        <f>IF(C31 = D31,0,1)</f>
        <v>0</v>
      </c>
    </row>
    <row r="32" spans="2:8" x14ac:dyDescent="0.35">
      <c r="B32" s="9" t="s">
        <v>73</v>
      </c>
      <c r="C32" t="s">
        <v>34</v>
      </c>
      <c r="D32" t="str">
        <f>singleCriteriaInexactSafe(B32)</f>
        <v>tomato</v>
      </c>
      <c r="E32">
        <f>IF(C32 = D32,0,1)</f>
        <v>0</v>
      </c>
    </row>
    <row r="33" spans="2:5" x14ac:dyDescent="0.35">
      <c r="B33" s="9" t="s">
        <v>47</v>
      </c>
      <c r="C33" t="s">
        <v>35</v>
      </c>
      <c r="D33" t="str">
        <f>singleCriteriaInexactSafe(B33)</f>
        <v>asparagus</v>
      </c>
      <c r="E33">
        <f>IF(C33 = D33,0,1)</f>
        <v>0</v>
      </c>
    </row>
    <row r="34" spans="2:5" x14ac:dyDescent="0.35">
      <c r="B34" s="9" t="s">
        <v>62</v>
      </c>
      <c r="C34" t="s">
        <v>35</v>
      </c>
      <c r="D34" t="str">
        <f>singleCriteriaInexactSafe(B34)</f>
        <v>asparagus</v>
      </c>
      <c r="E34">
        <f>IF(C34 = D34,0,1)</f>
        <v>0</v>
      </c>
    </row>
    <row r="35" spans="2:5" x14ac:dyDescent="0.35">
      <c r="B35" s="9" t="str">
        <f>UPPER(B19)</f>
        <v>A</v>
      </c>
      <c r="C35" t="s">
        <v>48</v>
      </c>
      <c r="D35" t="str">
        <f>singleCriteriaInexactSafe(B35)</f>
        <v>lemon</v>
      </c>
      <c r="E35">
        <f>IF(C35 = D35,0,1)</f>
        <v>0</v>
      </c>
    </row>
    <row r="36" spans="2:5" x14ac:dyDescent="0.35">
      <c r="B36" s="9" t="str">
        <f t="shared" ref="B36:B50" si="0">UPPER(B20)</f>
        <v>B</v>
      </c>
      <c r="C36" t="s">
        <v>48</v>
      </c>
      <c r="D36" t="str">
        <f>singleCriteriaInexactSafe(B36)</f>
        <v>lemon</v>
      </c>
      <c r="E36">
        <f>IF(C36 = D36,0,1)</f>
        <v>0</v>
      </c>
    </row>
    <row r="37" spans="2:5" x14ac:dyDescent="0.35">
      <c r="B37" s="9" t="str">
        <f t="shared" si="0"/>
        <v>C</v>
      </c>
      <c r="C37" t="s">
        <v>28</v>
      </c>
      <c r="D37" t="str">
        <f>singleCriteriaInexactSafe(B37)</f>
        <v>apple</v>
      </c>
      <c r="E37">
        <f>IF(C37 = D37,0,1)</f>
        <v>0</v>
      </c>
    </row>
    <row r="38" spans="2:5" x14ac:dyDescent="0.35">
      <c r="B38" s="9" t="str">
        <f t="shared" si="0"/>
        <v>D</v>
      </c>
      <c r="C38" t="s">
        <v>28</v>
      </c>
      <c r="D38" t="str">
        <f>singleCriteriaInexactSafe(B38)</f>
        <v>apple</v>
      </c>
      <c r="E38">
        <f>IF(C38 = D38,0,1)</f>
        <v>0</v>
      </c>
    </row>
    <row r="39" spans="2:5" x14ac:dyDescent="0.35">
      <c r="B39" s="9" t="str">
        <f t="shared" si="0"/>
        <v>E</v>
      </c>
      <c r="C39" t="s">
        <v>29</v>
      </c>
      <c r="D39" t="str">
        <f>singleCriteriaInexactSafe(B39)</f>
        <v>orange</v>
      </c>
      <c r="E39">
        <f>IF(C39 = D39,0,1)</f>
        <v>0</v>
      </c>
    </row>
    <row r="40" spans="2:5" x14ac:dyDescent="0.35">
      <c r="B40" s="9" t="str">
        <f t="shared" si="0"/>
        <v>F</v>
      </c>
      <c r="C40" t="s">
        <v>30</v>
      </c>
      <c r="D40" t="str">
        <f>singleCriteriaInexactSafe(B40)</f>
        <v>banana</v>
      </c>
      <c r="E40">
        <f>IF(C40 = D40,0,1)</f>
        <v>0</v>
      </c>
    </row>
    <row r="41" spans="2:5" x14ac:dyDescent="0.35">
      <c r="B41" s="9" t="str">
        <f t="shared" si="0"/>
        <v>G</v>
      </c>
      <c r="C41" t="s">
        <v>30</v>
      </c>
      <c r="D41" t="str">
        <f>singleCriteriaInexactSafe(B41)</f>
        <v>banana</v>
      </c>
      <c r="E41">
        <f>IF(C41 = D41,0,1)</f>
        <v>0</v>
      </c>
    </row>
    <row r="42" spans="2:5" x14ac:dyDescent="0.35">
      <c r="B42" s="9" t="str">
        <f t="shared" si="0"/>
        <v>H</v>
      </c>
      <c r="C42" t="s">
        <v>31</v>
      </c>
      <c r="D42" t="str">
        <f>singleCriteriaInexactSafe(B42)</f>
        <v>pineapple</v>
      </c>
      <c r="E42">
        <f>IF(C42 = D42,0,1)</f>
        <v>0</v>
      </c>
    </row>
    <row r="43" spans="2:5" x14ac:dyDescent="0.35">
      <c r="B43" s="9" t="str">
        <f t="shared" si="0"/>
        <v>I</v>
      </c>
      <c r="C43" t="s">
        <v>32</v>
      </c>
      <c r="D43" t="str">
        <f>singleCriteriaInexactSafe(B43)</f>
        <v>carrot</v>
      </c>
      <c r="E43">
        <f>IF(C43 = D43,0,1)</f>
        <v>0</v>
      </c>
    </row>
    <row r="44" spans="2:5" x14ac:dyDescent="0.35">
      <c r="B44" s="9" t="str">
        <f t="shared" si="0"/>
        <v>J</v>
      </c>
      <c r="C44" t="s">
        <v>32</v>
      </c>
      <c r="D44" t="str">
        <f>singleCriteriaInexactSafe(B44)</f>
        <v>carrot</v>
      </c>
      <c r="E44">
        <f>IF(C44 = D44,0,1)</f>
        <v>0</v>
      </c>
    </row>
    <row r="45" spans="2:5" x14ac:dyDescent="0.35">
      <c r="B45" s="9" t="str">
        <f t="shared" si="0"/>
        <v>K</v>
      </c>
      <c r="C45" t="s">
        <v>33</v>
      </c>
      <c r="D45" t="str">
        <f>singleCriteriaInexactSafe(B45)</f>
        <v>eggplant</v>
      </c>
      <c r="E45">
        <f>IF(C45 = D45,0,1)</f>
        <v>0</v>
      </c>
    </row>
    <row r="46" spans="2:5" x14ac:dyDescent="0.35">
      <c r="B46" s="9" t="str">
        <f t="shared" si="0"/>
        <v>L</v>
      </c>
      <c r="C46" t="s">
        <v>34</v>
      </c>
      <c r="D46" t="str">
        <f>singleCriteriaInexactSafe(B46)</f>
        <v>tomato</v>
      </c>
      <c r="E46">
        <f>IF(C46 = D46,0,1)</f>
        <v>0</v>
      </c>
    </row>
    <row r="47" spans="2:5" x14ac:dyDescent="0.35">
      <c r="B47" s="9" t="str">
        <f t="shared" si="0"/>
        <v>M</v>
      </c>
      <c r="C47" t="s">
        <v>34</v>
      </c>
      <c r="D47" t="str">
        <f>singleCriteriaInexactSafe(B47)</f>
        <v>tomato</v>
      </c>
      <c r="E47">
        <f>IF(C47 = D47,0,1)</f>
        <v>0</v>
      </c>
    </row>
    <row r="48" spans="2:5" x14ac:dyDescent="0.35">
      <c r="B48" s="9" t="str">
        <f t="shared" si="0"/>
        <v>N</v>
      </c>
      <c r="C48" t="s">
        <v>34</v>
      </c>
      <c r="D48" t="str">
        <f>singleCriteriaInexactSafe(B48)</f>
        <v>tomato</v>
      </c>
      <c r="E48">
        <f>IF(C48 = D48,0,1)</f>
        <v>0</v>
      </c>
    </row>
    <row r="49" spans="2:5" x14ac:dyDescent="0.35">
      <c r="B49" s="9" t="str">
        <f t="shared" si="0"/>
        <v>O</v>
      </c>
      <c r="C49" t="s">
        <v>35</v>
      </c>
      <c r="D49" t="str">
        <f>singleCriteriaInexactSafe(B49)</f>
        <v>asparagus</v>
      </c>
      <c r="E49">
        <f>IF(C49 = D49,0,1)</f>
        <v>0</v>
      </c>
    </row>
    <row r="50" spans="2:5" x14ac:dyDescent="0.35">
      <c r="B50" s="9" t="str">
        <f t="shared" si="0"/>
        <v>P</v>
      </c>
      <c r="C50" t="s">
        <v>35</v>
      </c>
      <c r="D50" t="str">
        <f>singleCriteriaInexactSafe(B50)</f>
        <v>asparagus</v>
      </c>
      <c r="E50">
        <f>IF(C50 = D50,0,1)</f>
        <v>0</v>
      </c>
    </row>
    <row r="51" spans="2:5" x14ac:dyDescent="0.35">
      <c r="B51" s="9" t="s">
        <v>74</v>
      </c>
      <c r="C51" t="s">
        <v>34</v>
      </c>
      <c r="D51" t="str">
        <f>singleCriteriaInexactSafe(B51)</f>
        <v>tomato</v>
      </c>
      <c r="E51">
        <f>IF(C51 = D51,0,1)</f>
        <v>0</v>
      </c>
    </row>
    <row r="52" spans="2:5" x14ac:dyDescent="0.35">
      <c r="B52" s="9" t="s">
        <v>102</v>
      </c>
      <c r="C52" t="s">
        <v>35</v>
      </c>
      <c r="D52" t="str">
        <f>singleCriteriaInexactSafe(B52)</f>
        <v>asparagus</v>
      </c>
      <c r="E52">
        <f>IF(C52 = D52,0,1)</f>
        <v>0</v>
      </c>
    </row>
    <row r="53" spans="2:5" x14ac:dyDescent="0.35">
      <c r="B53" s="9">
        <v>45</v>
      </c>
      <c r="C53" t="s">
        <v>48</v>
      </c>
      <c r="D53" t="str">
        <f>singleCriteriaInexactSafe(B53)</f>
        <v>lemon</v>
      </c>
      <c r="E53">
        <f>IF(C53 = D53,0,1)</f>
        <v>0</v>
      </c>
    </row>
    <row r="54" spans="2:5" x14ac:dyDescent="0.35">
      <c r="B54" s="13">
        <v>44960</v>
      </c>
      <c r="C54" t="s">
        <v>48</v>
      </c>
      <c r="D54" t="str">
        <f>singleCriteriaInexactSafe(B54)</f>
        <v>lemon</v>
      </c>
      <c r="E54">
        <f>IF(C54 = D54,0,1)</f>
        <v>0</v>
      </c>
    </row>
  </sheetData>
  <pageMargins left="0.7" right="0.7" top="0.75" bottom="0.75" header="0.3" footer="0.3"/>
  <pageSetup orientation="portrait" r:id="rId1"/>
  <drawing r:id="rId2"/>
  <tableParts count="1">
    <tablePart r:id="rId3"/>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1BE78A-4DA7-46BA-BD2A-788537243795}">
  <sheetPr codeName="Sheet5"/>
  <dimension ref="A1:M31"/>
  <sheetViews>
    <sheetView topLeftCell="A4" workbookViewId="0">
      <selection activeCell="G14" sqref="G14"/>
    </sheetView>
  </sheetViews>
  <sheetFormatPr defaultRowHeight="14.5" x14ac:dyDescent="0.35"/>
  <cols>
    <col min="2" max="2" width="18.1796875" customWidth="1"/>
    <col min="3" max="3" width="14.26953125" customWidth="1"/>
    <col min="4" max="4" width="15.54296875" customWidth="1"/>
    <col min="5" max="5" width="17.1796875" customWidth="1"/>
    <col min="14" max="16" width="9.54296875" customWidth="1"/>
  </cols>
  <sheetData>
    <row r="1" spans="1:13" hidden="1" x14ac:dyDescent="0.35">
      <c r="A1" t="s">
        <v>80</v>
      </c>
      <c r="B1" t="s">
        <v>81</v>
      </c>
    </row>
    <row r="2" spans="1:13" hidden="1" x14ac:dyDescent="0.35">
      <c r="A2" t="s">
        <v>80</v>
      </c>
    </row>
    <row r="3" spans="1:13" hidden="1" x14ac:dyDescent="0.35">
      <c r="A3" t="s">
        <v>80</v>
      </c>
    </row>
    <row r="4" spans="1:13" x14ac:dyDescent="0.35">
      <c r="B4" s="4"/>
    </row>
    <row r="5" spans="1:13" x14ac:dyDescent="0.35">
      <c r="B5" s="5" t="s">
        <v>83</v>
      </c>
    </row>
    <row r="7" spans="1:13" x14ac:dyDescent="0.35">
      <c r="B7" t="s">
        <v>119</v>
      </c>
    </row>
    <row r="8" spans="1:13" x14ac:dyDescent="0.35">
      <c r="B8" t="s">
        <v>65</v>
      </c>
    </row>
    <row r="9" spans="1:13" x14ac:dyDescent="0.35">
      <c r="B9" t="s">
        <v>120</v>
      </c>
    </row>
    <row r="10" spans="1:13" x14ac:dyDescent="0.35">
      <c r="L10" t="s">
        <v>44</v>
      </c>
      <c r="M10" t="s">
        <v>39</v>
      </c>
    </row>
    <row r="11" spans="1:13" x14ac:dyDescent="0.35">
      <c r="B11" t="s">
        <v>44</v>
      </c>
      <c r="C11" s="10" t="s">
        <v>87</v>
      </c>
      <c r="L11" t="s">
        <v>0</v>
      </c>
      <c r="M11" t="s">
        <v>48</v>
      </c>
    </row>
    <row r="12" spans="1:13" x14ac:dyDescent="0.35">
      <c r="L12" t="s">
        <v>2</v>
      </c>
      <c r="M12" t="s">
        <v>28</v>
      </c>
    </row>
    <row r="13" spans="1:13" x14ac:dyDescent="0.35">
      <c r="B13" t="s">
        <v>51</v>
      </c>
      <c r="C13" s="11" t="str">
        <f>INDEX(singleCriteriaTableB[result],MATCH(C11,singleCriteriaTableB[criteria],0))</f>
        <v>apple</v>
      </c>
      <c r="L13" t="s">
        <v>40</v>
      </c>
      <c r="M13" t="s">
        <v>29</v>
      </c>
    </row>
    <row r="14" spans="1:13" x14ac:dyDescent="0.35">
      <c r="B14" t="s">
        <v>9</v>
      </c>
      <c r="C14" t="str" cm="1">
        <f t="array" ref="C14">singleCriteriaExact(C11)</f>
        <v>asparagus</v>
      </c>
      <c r="L14" t="s">
        <v>41</v>
      </c>
      <c r="M14" t="s">
        <v>30</v>
      </c>
    </row>
    <row r="15" spans="1:13" x14ac:dyDescent="0.35">
      <c r="L15" t="s">
        <v>42</v>
      </c>
      <c r="M15" t="s">
        <v>31</v>
      </c>
    </row>
    <row r="16" spans="1:13" x14ac:dyDescent="0.35">
      <c r="B16" s="7" t="s">
        <v>75</v>
      </c>
      <c r="C16" s="7" t="s">
        <v>76</v>
      </c>
      <c r="D16" s="7" t="s">
        <v>77</v>
      </c>
      <c r="E16" s="7" t="s">
        <v>78</v>
      </c>
      <c r="L16" t="s">
        <v>43</v>
      </c>
      <c r="M16" t="s">
        <v>32</v>
      </c>
    </row>
    <row r="17" spans="2:13" x14ac:dyDescent="0.35">
      <c r="B17" t="s">
        <v>44</v>
      </c>
      <c r="C17" t="s">
        <v>51</v>
      </c>
      <c r="D17" t="s">
        <v>51</v>
      </c>
      <c r="E17" t="s">
        <v>51</v>
      </c>
      <c r="G17" t="s">
        <v>79</v>
      </c>
      <c r="H17">
        <f>SUM(E18:E26)</f>
        <v>0</v>
      </c>
      <c r="L17" t="s">
        <v>45</v>
      </c>
      <c r="M17" t="s">
        <v>33</v>
      </c>
    </row>
    <row r="18" spans="2:13" x14ac:dyDescent="0.35">
      <c r="B18" s="8" t="s">
        <v>0</v>
      </c>
      <c r="C18" t="s">
        <v>48</v>
      </c>
      <c r="D18" t="str">
        <f>singleCriteriaExact(B18)</f>
        <v>lemon</v>
      </c>
      <c r="E18">
        <f>IF(C18 = D18,0,1)</f>
        <v>0</v>
      </c>
      <c r="L18" t="s">
        <v>46</v>
      </c>
      <c r="M18" t="s">
        <v>34</v>
      </c>
    </row>
    <row r="19" spans="2:13" x14ac:dyDescent="0.35">
      <c r="B19" s="9" t="s">
        <v>2</v>
      </c>
      <c r="C19" t="s">
        <v>28</v>
      </c>
      <c r="D19" t="str">
        <f>singleCriteriaExact(B19)</f>
        <v>apple</v>
      </c>
      <c r="E19">
        <f>IF(C19 = D19,0,1)</f>
        <v>0</v>
      </c>
      <c r="L19" t="s">
        <v>47</v>
      </c>
      <c r="M19" t="s">
        <v>35</v>
      </c>
    </row>
    <row r="20" spans="2:13" x14ac:dyDescent="0.35">
      <c r="B20" s="9" t="s">
        <v>40</v>
      </c>
      <c r="C20" t="s">
        <v>29</v>
      </c>
      <c r="D20" t="str">
        <f>singleCriteriaExact(B20)</f>
        <v>orange</v>
      </c>
      <c r="E20">
        <f>IF(C20 = D20,0,1)</f>
        <v>0</v>
      </c>
    </row>
    <row r="21" spans="2:13" x14ac:dyDescent="0.35">
      <c r="B21" s="9" t="s">
        <v>41</v>
      </c>
      <c r="C21" t="s">
        <v>30</v>
      </c>
      <c r="D21" t="str">
        <f>singleCriteriaExact(B21)</f>
        <v>banana</v>
      </c>
      <c r="E21">
        <f>IF(C21 = D21,0,1)</f>
        <v>0</v>
      </c>
    </row>
    <row r="22" spans="2:13" x14ac:dyDescent="0.35">
      <c r="B22" s="9" t="s">
        <v>42</v>
      </c>
      <c r="C22" t="s">
        <v>31</v>
      </c>
      <c r="D22" t="str">
        <f>singleCriteriaExact(B22)</f>
        <v>pineapple</v>
      </c>
      <c r="E22">
        <f>IF(C22 = D22,0,1)</f>
        <v>0</v>
      </c>
    </row>
    <row r="23" spans="2:13" x14ac:dyDescent="0.35">
      <c r="B23" s="9" t="s">
        <v>43</v>
      </c>
      <c r="C23" t="s">
        <v>32</v>
      </c>
      <c r="D23" t="str">
        <f>singleCriteriaExact(B23)</f>
        <v>carrot</v>
      </c>
      <c r="E23">
        <f>IF(C23 = D23,0,1)</f>
        <v>0</v>
      </c>
    </row>
    <row r="24" spans="2:13" x14ac:dyDescent="0.35">
      <c r="B24" s="9" t="s">
        <v>45</v>
      </c>
      <c r="C24" t="s">
        <v>33</v>
      </c>
      <c r="D24" t="str">
        <f>singleCriteriaExact(B24)</f>
        <v>eggplant</v>
      </c>
      <c r="E24">
        <f>IF(C24 = D24,0,1)</f>
        <v>0</v>
      </c>
    </row>
    <row r="25" spans="2:13" x14ac:dyDescent="0.35">
      <c r="B25" s="9" t="s">
        <v>46</v>
      </c>
      <c r="C25" t="s">
        <v>34</v>
      </c>
      <c r="D25" t="str">
        <f>singleCriteriaExact(B25)</f>
        <v>tomato</v>
      </c>
      <c r="E25">
        <f>IF(C25 = D25,0,1)</f>
        <v>0</v>
      </c>
    </row>
    <row r="26" spans="2:13" x14ac:dyDescent="0.35">
      <c r="B26" s="9" t="s">
        <v>47</v>
      </c>
      <c r="C26" t="s">
        <v>35</v>
      </c>
      <c r="D26" t="str">
        <f>singleCriteriaExact(B26)</f>
        <v>asparagus</v>
      </c>
      <c r="E26">
        <f>IF(C26 = D26,0,1)</f>
        <v>0</v>
      </c>
    </row>
    <row r="29" spans="2:13" x14ac:dyDescent="0.35">
      <c r="B29" s="5" t="s">
        <v>91</v>
      </c>
    </row>
    <row r="30" spans="2:13" x14ac:dyDescent="0.35">
      <c r="B30" t="s">
        <v>1</v>
      </c>
      <c r="C30" t="e">
        <v>#N/A</v>
      </c>
      <c r="D30" t="str">
        <f>singleCriteriaExact(B30)</f>
        <v>asparagus</v>
      </c>
      <c r="E30">
        <v>1</v>
      </c>
      <c r="G30" t="s">
        <v>106</v>
      </c>
    </row>
    <row r="31" spans="2:13" x14ac:dyDescent="0.35">
      <c r="B31" t="s">
        <v>87</v>
      </c>
      <c r="C31" t="s">
        <v>28</v>
      </c>
      <c r="D31" t="str">
        <f>singleCriteriaExact(B31)</f>
        <v>asparagus</v>
      </c>
      <c r="E31">
        <v>1</v>
      </c>
      <c r="G31" t="s">
        <v>90</v>
      </c>
    </row>
  </sheetData>
  <pageMargins left="0.7" right="0.7" top="0.75" bottom="0.75" header="0.3" footer="0.3"/>
  <pageSetup orientation="portrait" r:id="rId1"/>
  <drawing r:id="rId2"/>
  <tableParts count="1">
    <tablePart r:id="rId3"/>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3B9293-7124-49F7-9967-CE41B7CB75D5}">
  <sheetPr codeName="Sheet7"/>
  <dimension ref="A1:M37"/>
  <sheetViews>
    <sheetView topLeftCell="A4" workbookViewId="0">
      <selection activeCell="D12" sqref="D12"/>
    </sheetView>
  </sheetViews>
  <sheetFormatPr defaultRowHeight="14.5" x14ac:dyDescent="0.35"/>
  <cols>
    <col min="2" max="2" width="18.1796875" customWidth="1"/>
    <col min="3" max="3" width="14.26953125" customWidth="1"/>
    <col min="4" max="4" width="15.54296875" customWidth="1"/>
    <col min="5" max="5" width="17.1796875" customWidth="1"/>
    <col min="13" max="13" width="10.26953125" customWidth="1"/>
    <col min="14" max="14" width="9.54296875" customWidth="1"/>
    <col min="15" max="15" width="10.26953125" customWidth="1"/>
    <col min="16" max="16" width="9.54296875" customWidth="1"/>
  </cols>
  <sheetData>
    <row r="1" spans="1:13" hidden="1" x14ac:dyDescent="0.35">
      <c r="A1" t="s">
        <v>80</v>
      </c>
      <c r="B1" t="s">
        <v>81</v>
      </c>
    </row>
    <row r="2" spans="1:13" hidden="1" x14ac:dyDescent="0.35">
      <c r="A2" t="s">
        <v>80</v>
      </c>
    </row>
    <row r="3" spans="1:13" hidden="1" x14ac:dyDescent="0.35">
      <c r="A3" t="s">
        <v>80</v>
      </c>
    </row>
    <row r="4" spans="1:13" x14ac:dyDescent="0.35">
      <c r="B4" s="5" t="s">
        <v>122</v>
      </c>
    </row>
    <row r="6" spans="1:13" x14ac:dyDescent="0.35">
      <c r="B6" t="s">
        <v>121</v>
      </c>
    </row>
    <row r="7" spans="1:13" x14ac:dyDescent="0.35">
      <c r="B7" t="s">
        <v>111</v>
      </c>
    </row>
    <row r="9" spans="1:13" x14ac:dyDescent="0.35">
      <c r="L9" s="17" t="s">
        <v>44</v>
      </c>
      <c r="M9" s="17" t="s">
        <v>39</v>
      </c>
    </row>
    <row r="10" spans="1:13" x14ac:dyDescent="0.35">
      <c r="B10" t="s">
        <v>44</v>
      </c>
      <c r="C10" s="10" t="s">
        <v>41</v>
      </c>
      <c r="L10" s="15" t="s">
        <v>101</v>
      </c>
      <c r="M10" s="15" t="s">
        <v>48</v>
      </c>
    </row>
    <row r="11" spans="1:13" x14ac:dyDescent="0.35">
      <c r="L11" s="16" t="s">
        <v>87</v>
      </c>
      <c r="M11" s="16" t="s">
        <v>28</v>
      </c>
    </row>
    <row r="12" spans="1:13" x14ac:dyDescent="0.35">
      <c r="B12" t="s">
        <v>109</v>
      </c>
      <c r="C12" t="str">
        <f>UPPER(Input_criteria)</f>
        <v>F</v>
      </c>
      <c r="L12" s="15" t="s">
        <v>93</v>
      </c>
      <c r="M12" s="15" t="s">
        <v>29</v>
      </c>
    </row>
    <row r="13" spans="1:13" x14ac:dyDescent="0.35">
      <c r="B13" t="s">
        <v>108</v>
      </c>
      <c r="C13">
        <f>COUNTIF(SingleCriteriaExactTable[criteria],C12)</f>
        <v>1</v>
      </c>
      <c r="L13" s="16" t="s">
        <v>94</v>
      </c>
      <c r="M13" s="16" t="s">
        <v>30</v>
      </c>
    </row>
    <row r="14" spans="1:13" x14ac:dyDescent="0.35">
      <c r="L14" s="15" t="s">
        <v>82</v>
      </c>
      <c r="M14" s="15" t="s">
        <v>31</v>
      </c>
    </row>
    <row r="15" spans="1:13" x14ac:dyDescent="0.35">
      <c r="B15" t="s">
        <v>107</v>
      </c>
      <c r="C15" s="11" t="str">
        <f>IF(C13,INDEX(SingleCriteriaExactTable[result],MATCH(C12,SingleCriteriaExactTable[criteria],0)),"Not Found")</f>
        <v>banana</v>
      </c>
      <c r="E15" s="14"/>
      <c r="L15" s="16" t="s">
        <v>95</v>
      </c>
      <c r="M15" s="16" t="s">
        <v>32</v>
      </c>
    </row>
    <row r="16" spans="1:13" x14ac:dyDescent="0.35">
      <c r="B16" t="s">
        <v>9</v>
      </c>
      <c r="C16" t="str" cm="1">
        <f t="array" ref="C16">singleCriteriaExactSafe(C10)</f>
        <v>banana</v>
      </c>
      <c r="L16" s="15" t="s">
        <v>96</v>
      </c>
      <c r="M16" s="15" t="s">
        <v>33</v>
      </c>
    </row>
    <row r="17" spans="2:13" x14ac:dyDescent="0.35">
      <c r="L17" s="16" t="s">
        <v>97</v>
      </c>
      <c r="M17" s="16" t="s">
        <v>34</v>
      </c>
    </row>
    <row r="18" spans="2:13" x14ac:dyDescent="0.35">
      <c r="B18" s="7" t="s">
        <v>75</v>
      </c>
      <c r="C18" s="7" t="s">
        <v>76</v>
      </c>
      <c r="D18" s="7" t="s">
        <v>77</v>
      </c>
      <c r="E18" s="7" t="s">
        <v>78</v>
      </c>
      <c r="L18" s="15" t="s">
        <v>98</v>
      </c>
      <c r="M18" s="15" t="s">
        <v>35</v>
      </c>
    </row>
    <row r="19" spans="2:13" x14ac:dyDescent="0.35">
      <c r="B19" t="s">
        <v>44</v>
      </c>
      <c r="C19" t="s">
        <v>107</v>
      </c>
      <c r="D19" t="s">
        <v>107</v>
      </c>
      <c r="E19" t="s">
        <v>107</v>
      </c>
      <c r="G19" t="s">
        <v>79</v>
      </c>
      <c r="H19">
        <f>SUM(E20:E37)</f>
        <v>0</v>
      </c>
    </row>
    <row r="20" spans="2:13" x14ac:dyDescent="0.35">
      <c r="B20" s="8" t="s">
        <v>0</v>
      </c>
      <c r="C20" t="s">
        <v>48</v>
      </c>
      <c r="D20" t="str">
        <f>singleCriteriaExactSafe(B20)</f>
        <v>lemon</v>
      </c>
      <c r="E20">
        <f>IF(C20 = D20,0,1)</f>
        <v>0</v>
      </c>
    </row>
    <row r="21" spans="2:13" x14ac:dyDescent="0.35">
      <c r="B21" s="8" t="s">
        <v>1</v>
      </c>
      <c r="C21" t="s">
        <v>110</v>
      </c>
      <c r="D21" t="str">
        <f>singleCriteriaExactSafe(B21)</f>
        <v>Not Found</v>
      </c>
      <c r="E21">
        <f>IF(C21 = D21,0,1)</f>
        <v>0</v>
      </c>
    </row>
    <row r="22" spans="2:13" x14ac:dyDescent="0.35">
      <c r="B22" s="8" t="s">
        <v>2</v>
      </c>
      <c r="C22" t="s">
        <v>28</v>
      </c>
      <c r="D22" t="str">
        <f>singleCriteriaExactSafe(B22)</f>
        <v>apple</v>
      </c>
      <c r="E22">
        <f>IF(C22 = D22,0,1)</f>
        <v>0</v>
      </c>
    </row>
    <row r="23" spans="2:13" x14ac:dyDescent="0.35">
      <c r="B23" s="8" t="s">
        <v>70</v>
      </c>
      <c r="C23" t="s">
        <v>110</v>
      </c>
      <c r="D23" t="str">
        <f>singleCriteriaExactSafe(B23)</f>
        <v>Not Found</v>
      </c>
      <c r="E23">
        <f>IF(C23 = D23,0,1)</f>
        <v>0</v>
      </c>
    </row>
    <row r="24" spans="2:13" x14ac:dyDescent="0.35">
      <c r="B24" s="8" t="s">
        <v>40</v>
      </c>
      <c r="C24" t="s">
        <v>29</v>
      </c>
      <c r="D24" t="str">
        <f>singleCriteriaExactSafe(B24)</f>
        <v>orange</v>
      </c>
      <c r="E24">
        <f>IF(C24 = D24,0,1)</f>
        <v>0</v>
      </c>
    </row>
    <row r="25" spans="2:13" x14ac:dyDescent="0.35">
      <c r="B25" s="8" t="s">
        <v>41</v>
      </c>
      <c r="C25" t="s">
        <v>30</v>
      </c>
      <c r="D25" t="str">
        <f>singleCriteriaExactSafe(B25)</f>
        <v>banana</v>
      </c>
      <c r="E25">
        <f>IF(C25 = D25,0,1)</f>
        <v>0</v>
      </c>
    </row>
    <row r="26" spans="2:13" x14ac:dyDescent="0.35">
      <c r="B26" s="8" t="s">
        <v>71</v>
      </c>
      <c r="C26" t="s">
        <v>110</v>
      </c>
      <c r="D26" t="str">
        <f>singleCriteriaExactSafe(B26)</f>
        <v>Not Found</v>
      </c>
      <c r="E26">
        <f>IF(C26 = D26,0,1)</f>
        <v>0</v>
      </c>
    </row>
    <row r="27" spans="2:13" x14ac:dyDescent="0.35">
      <c r="B27" s="9" t="s">
        <v>42</v>
      </c>
      <c r="C27" t="s">
        <v>31</v>
      </c>
      <c r="D27" t="str">
        <f>singleCriteriaExactSafe(B27)</f>
        <v>pineapple</v>
      </c>
      <c r="E27">
        <f>IF(C27 = D27,0,1)</f>
        <v>0</v>
      </c>
    </row>
    <row r="28" spans="2:13" x14ac:dyDescent="0.35">
      <c r="B28" s="9" t="s">
        <v>43</v>
      </c>
      <c r="C28" t="s">
        <v>32</v>
      </c>
      <c r="D28" t="str">
        <f>singleCriteriaExactSafe(B28)</f>
        <v>carrot</v>
      </c>
      <c r="E28">
        <f>IF(C28 = D28,0,1)</f>
        <v>0</v>
      </c>
    </row>
    <row r="29" spans="2:13" x14ac:dyDescent="0.35">
      <c r="B29" s="9" t="s">
        <v>72</v>
      </c>
      <c r="C29" t="s">
        <v>110</v>
      </c>
      <c r="D29" t="str">
        <f>singleCriteriaExactSafe(B29)</f>
        <v>Not Found</v>
      </c>
      <c r="E29">
        <f>IF(C29 = D29,0,1)</f>
        <v>0</v>
      </c>
    </row>
    <row r="30" spans="2:13" x14ac:dyDescent="0.35">
      <c r="B30" s="9" t="s">
        <v>45</v>
      </c>
      <c r="C30" t="s">
        <v>33</v>
      </c>
      <c r="D30" t="str">
        <f>singleCriteriaExactSafe(B30)</f>
        <v>eggplant</v>
      </c>
      <c r="E30">
        <f>IF(C30 = D30,0,1)</f>
        <v>0</v>
      </c>
    </row>
    <row r="31" spans="2:13" x14ac:dyDescent="0.35">
      <c r="B31" s="9" t="s">
        <v>46</v>
      </c>
      <c r="C31" t="s">
        <v>34</v>
      </c>
      <c r="D31" t="str">
        <f>singleCriteriaExactSafe(B31)</f>
        <v>tomato</v>
      </c>
      <c r="E31">
        <f>IF(C31 = D31,0,1)</f>
        <v>0</v>
      </c>
    </row>
    <row r="32" spans="2:13" x14ac:dyDescent="0.35">
      <c r="B32" s="9" t="s">
        <v>69</v>
      </c>
      <c r="C32" t="s">
        <v>110</v>
      </c>
      <c r="D32" t="str">
        <f>singleCriteriaExactSafe(B32)</f>
        <v>Not Found</v>
      </c>
      <c r="E32">
        <f>IF(C32 = D32,0,1)</f>
        <v>0</v>
      </c>
    </row>
    <row r="33" spans="2:5" x14ac:dyDescent="0.35">
      <c r="B33" s="9" t="s">
        <v>73</v>
      </c>
      <c r="C33" t="s">
        <v>110</v>
      </c>
      <c r="D33" t="str">
        <f>singleCriteriaExactSafe(B33)</f>
        <v>Not Found</v>
      </c>
      <c r="E33">
        <f>IF(C33 = D33,0,1)</f>
        <v>0</v>
      </c>
    </row>
    <row r="34" spans="2:5" x14ac:dyDescent="0.35">
      <c r="B34" s="9" t="s">
        <v>47</v>
      </c>
      <c r="C34" t="s">
        <v>35</v>
      </c>
      <c r="D34" t="str">
        <f>singleCriteriaExactSafe(B34)</f>
        <v>asparagus</v>
      </c>
      <c r="E34">
        <f>IF(C34 = D34,0,1)</f>
        <v>0</v>
      </c>
    </row>
    <row r="35" spans="2:5" x14ac:dyDescent="0.35">
      <c r="B35" s="9" t="s">
        <v>62</v>
      </c>
      <c r="C35" t="s">
        <v>110</v>
      </c>
      <c r="D35" t="str">
        <f>singleCriteriaExactSafe(B35)</f>
        <v>Not Found</v>
      </c>
      <c r="E35">
        <f>IF(C35 = D35,0,1)</f>
        <v>0</v>
      </c>
    </row>
    <row r="36" spans="2:5" x14ac:dyDescent="0.35">
      <c r="B36" s="9" t="s">
        <v>74</v>
      </c>
      <c r="C36" t="s">
        <v>110</v>
      </c>
      <c r="D36" t="str">
        <f>singleCriteriaExactSafe(B36)</f>
        <v>Not Found</v>
      </c>
      <c r="E36">
        <f>IF(C36 = D36,0,1)</f>
        <v>0</v>
      </c>
    </row>
    <row r="37" spans="2:5" x14ac:dyDescent="0.35">
      <c r="B37" s="9">
        <v>123</v>
      </c>
      <c r="C37" t="s">
        <v>110</v>
      </c>
      <c r="D37" t="str">
        <f>singleCriteriaExactSafe(B37)</f>
        <v>Not Found</v>
      </c>
      <c r="E37">
        <f>IF(C37 = D37,0,1)</f>
        <v>0</v>
      </c>
    </row>
  </sheetData>
  <pageMargins left="0.7" right="0.7" top="0.75" bottom="0.75" header="0.3" footer="0.3"/>
  <pageSetup orientation="portrait" r:id="rId1"/>
  <drawing r:id="rId2"/>
  <tableParts count="1">
    <tablePart r:id="rId3"/>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DB4C44-EEDA-467B-87AD-8E7FCD68CD35}">
  <sheetPr codeName="Sheet8"/>
  <dimension ref="A1:J54"/>
  <sheetViews>
    <sheetView topLeftCell="A4" workbookViewId="0">
      <selection activeCell="E17" sqref="E17"/>
    </sheetView>
  </sheetViews>
  <sheetFormatPr defaultRowHeight="14.5" x14ac:dyDescent="0.35"/>
  <cols>
    <col min="5" max="5" width="18.1796875" customWidth="1"/>
    <col min="6" max="6" width="12.7265625" customWidth="1"/>
    <col min="7" max="7" width="11.7265625" customWidth="1"/>
    <col min="17" max="19" width="9.54296875" customWidth="1"/>
  </cols>
  <sheetData>
    <row r="1" spans="1:7" hidden="1" x14ac:dyDescent="0.35">
      <c r="A1" t="s">
        <v>80</v>
      </c>
      <c r="B1" t="s">
        <v>81</v>
      </c>
    </row>
    <row r="2" spans="1:7" hidden="1" x14ac:dyDescent="0.35">
      <c r="A2" t="s">
        <v>80</v>
      </c>
    </row>
    <row r="3" spans="1:7" hidden="1" x14ac:dyDescent="0.35">
      <c r="A3" t="s">
        <v>80</v>
      </c>
    </row>
    <row r="5" spans="1:7" x14ac:dyDescent="0.35">
      <c r="C5" t="s">
        <v>113</v>
      </c>
    </row>
    <row r="9" spans="1:7" x14ac:dyDescent="0.35">
      <c r="B9" t="s">
        <v>36</v>
      </c>
      <c r="C9" s="10" t="s">
        <v>0</v>
      </c>
      <c r="F9" s="7" t="s">
        <v>44</v>
      </c>
      <c r="G9" s="7" t="s">
        <v>39</v>
      </c>
    </row>
    <row r="10" spans="1:7" x14ac:dyDescent="0.35">
      <c r="B10" t="s">
        <v>37</v>
      </c>
      <c r="C10" s="10" t="s">
        <v>40</v>
      </c>
      <c r="F10" s="7" t="s">
        <v>0</v>
      </c>
      <c r="G10" s="7">
        <v>5</v>
      </c>
    </row>
    <row r="11" spans="1:7" x14ac:dyDescent="0.35">
      <c r="B11" t="s">
        <v>38</v>
      </c>
      <c r="C11" s="10" t="s">
        <v>47</v>
      </c>
      <c r="F11" s="7" t="s">
        <v>2</v>
      </c>
      <c r="G11" s="7">
        <v>8</v>
      </c>
    </row>
    <row r="12" spans="1:7" x14ac:dyDescent="0.35">
      <c r="F12" s="7" t="s">
        <v>40</v>
      </c>
      <c r="G12" s="7">
        <v>2</v>
      </c>
    </row>
    <row r="13" spans="1:7" x14ac:dyDescent="0.35">
      <c r="B13" t="s">
        <v>59</v>
      </c>
      <c r="C13">
        <f>INDEX(MultipleLookupsTable[result],MATCH(C9,MultipleLookupsTable[criteria],0))</f>
        <v>5</v>
      </c>
      <c r="F13" s="7" t="s">
        <v>41</v>
      </c>
      <c r="G13" s="7">
        <v>6</v>
      </c>
    </row>
    <row r="14" spans="1:7" x14ac:dyDescent="0.35">
      <c r="B14" t="s">
        <v>60</v>
      </c>
      <c r="C14">
        <f>INDEX(MultipleLookupsTable[result],MATCH(C10,MultipleLookupsTable[criteria],0))</f>
        <v>2</v>
      </c>
      <c r="F14" s="7" t="s">
        <v>42</v>
      </c>
      <c r="G14" s="7">
        <v>1</v>
      </c>
    </row>
    <row r="15" spans="1:7" x14ac:dyDescent="0.35">
      <c r="B15" t="s">
        <v>61</v>
      </c>
      <c r="C15">
        <f>INDEX(MultipleLookupsTable[result],MATCH(C11,MultipleLookupsTable[criteria],0))</f>
        <v>4</v>
      </c>
      <c r="F15" s="7" t="s">
        <v>43</v>
      </c>
      <c r="G15" s="7">
        <v>78</v>
      </c>
    </row>
    <row r="16" spans="1:7" x14ac:dyDescent="0.35">
      <c r="F16" s="7" t="s">
        <v>45</v>
      </c>
      <c r="G16" s="7">
        <v>1</v>
      </c>
    </row>
    <row r="17" spans="2:10" x14ac:dyDescent="0.35">
      <c r="B17" t="s">
        <v>112</v>
      </c>
      <c r="C17" s="11">
        <f>SUM(C13:C15)</f>
        <v>11</v>
      </c>
      <c r="F17" s="7" t="s">
        <v>46</v>
      </c>
      <c r="G17" s="7">
        <v>3</v>
      </c>
    </row>
    <row r="18" spans="2:10" x14ac:dyDescent="0.35">
      <c r="F18" s="7" t="s">
        <v>47</v>
      </c>
      <c r="G18" s="7">
        <v>4</v>
      </c>
    </row>
    <row r="22" spans="2:10" x14ac:dyDescent="0.35">
      <c r="B22" t="s">
        <v>36</v>
      </c>
      <c r="C22" t="s">
        <v>37</v>
      </c>
      <c r="D22" t="s">
        <v>38</v>
      </c>
    </row>
    <row r="23" spans="2:10" x14ac:dyDescent="0.35">
      <c r="B23" t="s">
        <v>0</v>
      </c>
      <c r="C23" t="s">
        <v>40</v>
      </c>
      <c r="D23" t="s">
        <v>47</v>
      </c>
    </row>
    <row r="24" spans="2:10" x14ac:dyDescent="0.35">
      <c r="B24" t="s">
        <v>2</v>
      </c>
      <c r="C24" t="s">
        <v>45</v>
      </c>
      <c r="D24" t="s">
        <v>40</v>
      </c>
    </row>
    <row r="25" spans="2:10" x14ac:dyDescent="0.35">
      <c r="B25" t="s">
        <v>42</v>
      </c>
      <c r="C25" t="s">
        <v>46</v>
      </c>
      <c r="D25" t="s">
        <v>46</v>
      </c>
    </row>
    <row r="26" spans="2:10" x14ac:dyDescent="0.35">
      <c r="B26" s="27" t="s">
        <v>75</v>
      </c>
      <c r="C26" s="27"/>
      <c r="D26" s="27"/>
      <c r="E26" s="7" t="s">
        <v>76</v>
      </c>
      <c r="F26" s="7" t="s">
        <v>77</v>
      </c>
      <c r="G26" s="7" t="s">
        <v>78</v>
      </c>
    </row>
    <row r="27" spans="2:10" x14ac:dyDescent="0.35">
      <c r="B27" t="s">
        <v>36</v>
      </c>
      <c r="C27" t="s">
        <v>37</v>
      </c>
      <c r="D27" t="s">
        <v>38</v>
      </c>
      <c r="E27" t="s">
        <v>112</v>
      </c>
      <c r="F27" t="s">
        <v>112</v>
      </c>
      <c r="G27" t="s">
        <v>112</v>
      </c>
      <c r="I27" t="s">
        <v>79</v>
      </c>
      <c r="J27">
        <f>SUM(G28:G54)</f>
        <v>0</v>
      </c>
    </row>
    <row r="28" spans="2:10" x14ac:dyDescent="0.35">
      <c r="B28" s="9" t="s">
        <v>0</v>
      </c>
      <c r="C28" s="9" t="s">
        <v>40</v>
      </c>
      <c r="D28" s="9" t="s">
        <v>47</v>
      </c>
      <c r="E28">
        <v>11</v>
      </c>
      <c r="F28">
        <f>MultipleSingleLookups(B28,C28,D28)</f>
        <v>11</v>
      </c>
      <c r="G28">
        <f>IF(ABS(E28-F28)&lt; 0.000001,0,1)</f>
        <v>0</v>
      </c>
    </row>
    <row r="29" spans="2:10" x14ac:dyDescent="0.35">
      <c r="B29" s="9" t="s">
        <v>0</v>
      </c>
      <c r="C29" s="9" t="s">
        <v>40</v>
      </c>
      <c r="D29" s="9" t="s">
        <v>40</v>
      </c>
      <c r="E29">
        <v>9</v>
      </c>
      <c r="F29">
        <f>MultipleSingleLookups(B29,C29,D29)</f>
        <v>9</v>
      </c>
      <c r="G29">
        <f>IF(ABS(E29-F29)&lt; 0.000001,0,1)</f>
        <v>0</v>
      </c>
    </row>
    <row r="30" spans="2:10" x14ac:dyDescent="0.35">
      <c r="B30" s="9" t="s">
        <v>0</v>
      </c>
      <c r="C30" s="9" t="s">
        <v>40</v>
      </c>
      <c r="D30" s="9" t="s">
        <v>46</v>
      </c>
      <c r="E30">
        <v>10</v>
      </c>
      <c r="F30">
        <f>MultipleSingleLookups(B30,C30,D30)</f>
        <v>10</v>
      </c>
      <c r="G30">
        <f>IF(ABS(E30-F30)&lt; 0.000001,0,1)</f>
        <v>0</v>
      </c>
    </row>
    <row r="31" spans="2:10" x14ac:dyDescent="0.35">
      <c r="B31" s="9" t="s">
        <v>0</v>
      </c>
      <c r="C31" s="9" t="s">
        <v>45</v>
      </c>
      <c r="D31" s="9" t="s">
        <v>47</v>
      </c>
      <c r="E31">
        <v>10</v>
      </c>
      <c r="F31">
        <f>MultipleSingleLookups(B31,C31,D31)</f>
        <v>10</v>
      </c>
      <c r="G31">
        <f>IF(ABS(E31-F31)&lt; 0.000001,0,1)</f>
        <v>0</v>
      </c>
    </row>
    <row r="32" spans="2:10" x14ac:dyDescent="0.35">
      <c r="B32" s="9" t="s">
        <v>0</v>
      </c>
      <c r="C32" s="9" t="s">
        <v>45</v>
      </c>
      <c r="D32" s="9" t="s">
        <v>40</v>
      </c>
      <c r="E32">
        <v>8</v>
      </c>
      <c r="F32">
        <f>MultipleSingleLookups(B32,C32,D32)</f>
        <v>8</v>
      </c>
      <c r="G32">
        <f>IF(ABS(E32-F32)&lt; 0.000001,0,1)</f>
        <v>0</v>
      </c>
    </row>
    <row r="33" spans="2:7" x14ac:dyDescent="0.35">
      <c r="B33" s="9" t="s">
        <v>0</v>
      </c>
      <c r="C33" s="9" t="s">
        <v>45</v>
      </c>
      <c r="D33" s="9" t="s">
        <v>46</v>
      </c>
      <c r="E33">
        <v>9</v>
      </c>
      <c r="F33">
        <f>MultipleSingleLookups(B33,C33,D33)</f>
        <v>9</v>
      </c>
      <c r="G33">
        <f>IF(ABS(E33-F33)&lt; 0.000001,0,1)</f>
        <v>0</v>
      </c>
    </row>
    <row r="34" spans="2:7" x14ac:dyDescent="0.35">
      <c r="B34" s="9" t="s">
        <v>0</v>
      </c>
      <c r="C34" s="9" t="s">
        <v>46</v>
      </c>
      <c r="D34" s="9" t="s">
        <v>47</v>
      </c>
      <c r="E34">
        <v>12</v>
      </c>
      <c r="F34">
        <f>MultipleSingleLookups(B34,C34,D34)</f>
        <v>12</v>
      </c>
      <c r="G34">
        <f>IF(ABS(E34-F34)&lt; 0.000001,0,1)</f>
        <v>0</v>
      </c>
    </row>
    <row r="35" spans="2:7" x14ac:dyDescent="0.35">
      <c r="B35" s="9" t="s">
        <v>0</v>
      </c>
      <c r="C35" s="9" t="s">
        <v>46</v>
      </c>
      <c r="D35" s="9" t="s">
        <v>40</v>
      </c>
      <c r="E35">
        <v>10</v>
      </c>
      <c r="F35">
        <f>MultipleSingleLookups(B35,C35,D35)</f>
        <v>10</v>
      </c>
      <c r="G35">
        <f>IF(ABS(E35-F35)&lt; 0.000001,0,1)</f>
        <v>0</v>
      </c>
    </row>
    <row r="36" spans="2:7" x14ac:dyDescent="0.35">
      <c r="B36" s="9" t="s">
        <v>0</v>
      </c>
      <c r="C36" s="9" t="s">
        <v>46</v>
      </c>
      <c r="D36" s="9" t="s">
        <v>46</v>
      </c>
      <c r="E36">
        <v>11</v>
      </c>
      <c r="F36">
        <f>MultipleSingleLookups(B36,C36,D36)</f>
        <v>11</v>
      </c>
      <c r="G36">
        <f>IF(ABS(E36-F36)&lt; 0.000001,0,1)</f>
        <v>0</v>
      </c>
    </row>
    <row r="37" spans="2:7" x14ac:dyDescent="0.35">
      <c r="B37" s="9" t="s">
        <v>2</v>
      </c>
      <c r="C37" s="9" t="s">
        <v>40</v>
      </c>
      <c r="D37" s="9" t="s">
        <v>47</v>
      </c>
      <c r="E37">
        <v>14</v>
      </c>
      <c r="F37">
        <f>MultipleSingleLookups(B37,C37,D37)</f>
        <v>14</v>
      </c>
      <c r="G37">
        <f>IF(ABS(E37-F37)&lt; 0.000001,0,1)</f>
        <v>0</v>
      </c>
    </row>
    <row r="38" spans="2:7" x14ac:dyDescent="0.35">
      <c r="B38" s="9" t="s">
        <v>2</v>
      </c>
      <c r="C38" s="9" t="s">
        <v>40</v>
      </c>
      <c r="D38" s="9" t="s">
        <v>40</v>
      </c>
      <c r="E38">
        <v>12</v>
      </c>
      <c r="F38">
        <f>MultipleSingleLookups(B38,C38,D38)</f>
        <v>12</v>
      </c>
      <c r="G38">
        <f>IF(ABS(E38-F38)&lt; 0.000001,0,1)</f>
        <v>0</v>
      </c>
    </row>
    <row r="39" spans="2:7" x14ac:dyDescent="0.35">
      <c r="B39" s="9" t="s">
        <v>2</v>
      </c>
      <c r="C39" s="9" t="s">
        <v>40</v>
      </c>
      <c r="D39" s="9" t="s">
        <v>46</v>
      </c>
      <c r="E39">
        <v>13</v>
      </c>
      <c r="F39">
        <f>MultipleSingleLookups(B39,C39,D39)</f>
        <v>13</v>
      </c>
      <c r="G39">
        <f>IF(ABS(E39-F39)&lt; 0.000001,0,1)</f>
        <v>0</v>
      </c>
    </row>
    <row r="40" spans="2:7" x14ac:dyDescent="0.35">
      <c r="B40" s="9" t="s">
        <v>2</v>
      </c>
      <c r="C40" s="9" t="s">
        <v>45</v>
      </c>
      <c r="D40" s="9" t="s">
        <v>47</v>
      </c>
      <c r="E40">
        <v>13</v>
      </c>
      <c r="F40">
        <f>MultipleSingleLookups(B40,C40,D40)</f>
        <v>13</v>
      </c>
      <c r="G40">
        <f>IF(ABS(E40-F40)&lt; 0.000001,0,1)</f>
        <v>0</v>
      </c>
    </row>
    <row r="41" spans="2:7" x14ac:dyDescent="0.35">
      <c r="B41" s="9" t="s">
        <v>2</v>
      </c>
      <c r="C41" s="9" t="s">
        <v>45</v>
      </c>
      <c r="D41" s="9" t="s">
        <v>40</v>
      </c>
      <c r="E41">
        <v>11</v>
      </c>
      <c r="F41">
        <f>MultipleSingleLookups(B41,C41,D41)</f>
        <v>11</v>
      </c>
      <c r="G41">
        <f>IF(ABS(E41-F41)&lt; 0.000001,0,1)</f>
        <v>0</v>
      </c>
    </row>
    <row r="42" spans="2:7" x14ac:dyDescent="0.35">
      <c r="B42" s="9" t="s">
        <v>2</v>
      </c>
      <c r="C42" s="9" t="s">
        <v>45</v>
      </c>
      <c r="D42" s="9" t="s">
        <v>46</v>
      </c>
      <c r="E42">
        <v>12</v>
      </c>
      <c r="F42">
        <f>MultipleSingleLookups(B42,C42,D42)</f>
        <v>12</v>
      </c>
      <c r="G42">
        <f>IF(ABS(E42-F42)&lt; 0.000001,0,1)</f>
        <v>0</v>
      </c>
    </row>
    <row r="43" spans="2:7" x14ac:dyDescent="0.35">
      <c r="B43" s="9" t="s">
        <v>2</v>
      </c>
      <c r="C43" s="9" t="s">
        <v>46</v>
      </c>
      <c r="D43" s="9" t="s">
        <v>47</v>
      </c>
      <c r="E43">
        <v>15</v>
      </c>
      <c r="F43">
        <f>MultipleSingleLookups(B43,C43,D43)</f>
        <v>15</v>
      </c>
      <c r="G43">
        <f>IF(ABS(E43-F43)&lt; 0.000001,0,1)</f>
        <v>0</v>
      </c>
    </row>
    <row r="44" spans="2:7" x14ac:dyDescent="0.35">
      <c r="B44" s="9" t="s">
        <v>2</v>
      </c>
      <c r="C44" s="9" t="s">
        <v>46</v>
      </c>
      <c r="D44" s="9" t="s">
        <v>40</v>
      </c>
      <c r="E44">
        <v>13</v>
      </c>
      <c r="F44">
        <f>MultipleSingleLookups(B44,C44,D44)</f>
        <v>13</v>
      </c>
      <c r="G44">
        <f>IF(ABS(E44-F44)&lt; 0.000001,0,1)</f>
        <v>0</v>
      </c>
    </row>
    <row r="45" spans="2:7" x14ac:dyDescent="0.35">
      <c r="B45" s="9" t="s">
        <v>2</v>
      </c>
      <c r="C45" s="9" t="s">
        <v>46</v>
      </c>
      <c r="D45" s="9" t="s">
        <v>46</v>
      </c>
      <c r="E45">
        <v>14</v>
      </c>
      <c r="F45">
        <f>MultipleSingleLookups(B45,C45,D45)</f>
        <v>14</v>
      </c>
      <c r="G45">
        <f>IF(ABS(E45-F45)&lt; 0.000001,0,1)</f>
        <v>0</v>
      </c>
    </row>
    <row r="46" spans="2:7" x14ac:dyDescent="0.35">
      <c r="B46" s="9" t="s">
        <v>42</v>
      </c>
      <c r="C46" s="9" t="s">
        <v>40</v>
      </c>
      <c r="D46" s="9" t="s">
        <v>47</v>
      </c>
      <c r="E46">
        <v>7</v>
      </c>
      <c r="F46">
        <f>MultipleSingleLookups(B46,C46,D46)</f>
        <v>7</v>
      </c>
      <c r="G46">
        <f>IF(ABS(E46-F46)&lt; 0.000001,0,1)</f>
        <v>0</v>
      </c>
    </row>
    <row r="47" spans="2:7" x14ac:dyDescent="0.35">
      <c r="B47" s="9" t="s">
        <v>42</v>
      </c>
      <c r="C47" s="9" t="s">
        <v>40</v>
      </c>
      <c r="D47" s="9" t="s">
        <v>40</v>
      </c>
      <c r="E47">
        <v>5</v>
      </c>
      <c r="F47">
        <f>MultipleSingleLookups(B47,C47,D47)</f>
        <v>5</v>
      </c>
      <c r="G47">
        <f>IF(ABS(E47-F47)&lt; 0.000001,0,1)</f>
        <v>0</v>
      </c>
    </row>
    <row r="48" spans="2:7" x14ac:dyDescent="0.35">
      <c r="B48" s="9" t="s">
        <v>42</v>
      </c>
      <c r="C48" s="9" t="s">
        <v>40</v>
      </c>
      <c r="D48" s="9" t="s">
        <v>46</v>
      </c>
      <c r="E48">
        <v>6</v>
      </c>
      <c r="F48">
        <f>MultipleSingleLookups(B48,C48,D48)</f>
        <v>6</v>
      </c>
      <c r="G48">
        <f>IF(ABS(E48-F48)&lt; 0.000001,0,1)</f>
        <v>0</v>
      </c>
    </row>
    <row r="49" spans="2:7" x14ac:dyDescent="0.35">
      <c r="B49" s="9" t="s">
        <v>42</v>
      </c>
      <c r="C49" s="9" t="s">
        <v>45</v>
      </c>
      <c r="D49" s="9" t="s">
        <v>47</v>
      </c>
      <c r="E49">
        <v>6</v>
      </c>
      <c r="F49">
        <f>MultipleSingleLookups(B49,C49,D49)</f>
        <v>6</v>
      </c>
      <c r="G49">
        <f>IF(ABS(E49-F49)&lt; 0.000001,0,1)</f>
        <v>0</v>
      </c>
    </row>
    <row r="50" spans="2:7" x14ac:dyDescent="0.35">
      <c r="B50" s="9" t="s">
        <v>42</v>
      </c>
      <c r="C50" s="9" t="s">
        <v>45</v>
      </c>
      <c r="D50" s="9" t="s">
        <v>40</v>
      </c>
      <c r="E50">
        <v>4</v>
      </c>
      <c r="F50">
        <f>MultipleSingleLookups(B50,C50,D50)</f>
        <v>4</v>
      </c>
      <c r="G50">
        <f>IF(ABS(E50-F50)&lt; 0.000001,0,1)</f>
        <v>0</v>
      </c>
    </row>
    <row r="51" spans="2:7" x14ac:dyDescent="0.35">
      <c r="B51" s="9" t="s">
        <v>42</v>
      </c>
      <c r="C51" s="9" t="s">
        <v>45</v>
      </c>
      <c r="D51" s="9" t="s">
        <v>46</v>
      </c>
      <c r="E51">
        <v>5</v>
      </c>
      <c r="F51">
        <f>MultipleSingleLookups(B51,C51,D51)</f>
        <v>5</v>
      </c>
      <c r="G51">
        <f>IF(ABS(E51-F51)&lt; 0.000001,0,1)</f>
        <v>0</v>
      </c>
    </row>
    <row r="52" spans="2:7" x14ac:dyDescent="0.35">
      <c r="B52" s="9" t="s">
        <v>42</v>
      </c>
      <c r="C52" s="9" t="s">
        <v>46</v>
      </c>
      <c r="D52" s="9" t="s">
        <v>47</v>
      </c>
      <c r="E52">
        <v>8</v>
      </c>
      <c r="F52">
        <f>MultipleSingleLookups(B52,C52,D52)</f>
        <v>8</v>
      </c>
      <c r="G52">
        <f>IF(ABS(E52-F52)&lt; 0.000001,0,1)</f>
        <v>0</v>
      </c>
    </row>
    <row r="53" spans="2:7" x14ac:dyDescent="0.35">
      <c r="B53" s="9" t="s">
        <v>42</v>
      </c>
      <c r="C53" s="9" t="s">
        <v>46</v>
      </c>
      <c r="D53" s="9" t="s">
        <v>40</v>
      </c>
      <c r="E53">
        <v>6</v>
      </c>
      <c r="F53">
        <f>MultipleSingleLookups(B53,C53,D53)</f>
        <v>6</v>
      </c>
      <c r="G53">
        <f>IF(ABS(E53-F53)&lt; 0.000001,0,1)</f>
        <v>0</v>
      </c>
    </row>
    <row r="54" spans="2:7" x14ac:dyDescent="0.35">
      <c r="B54" s="9" t="s">
        <v>42</v>
      </c>
      <c r="C54" s="9" t="s">
        <v>46</v>
      </c>
      <c r="D54" s="9" t="s">
        <v>46</v>
      </c>
      <c r="E54">
        <v>7</v>
      </c>
      <c r="F54">
        <f>MultipleSingleLookups(B54,C54,D54)</f>
        <v>7</v>
      </c>
      <c r="G54">
        <f>IF(ABS(E54-F54)&lt; 0.000001,0,1)</f>
        <v>0</v>
      </c>
    </row>
  </sheetData>
  <mergeCells count="1">
    <mergeCell ref="B26:D26"/>
  </mergeCells>
  <pageMargins left="0.7" right="0.7" top="0.75" bottom="0.75" header="0.3" footer="0.3"/>
  <pageSetup orientation="portrait" r:id="rId1"/>
  <drawing r:id="rId2"/>
  <tableParts count="1">
    <tablePart r:id="rId3"/>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80B2DD-D5DB-44A1-ABDE-3DD751910F79}">
  <sheetPr codeName="Sheet9"/>
  <dimension ref="A1:J32"/>
  <sheetViews>
    <sheetView topLeftCell="A4" workbookViewId="0">
      <selection activeCell="K23" sqref="K23"/>
    </sheetView>
  </sheetViews>
  <sheetFormatPr defaultRowHeight="14.5" x14ac:dyDescent="0.35"/>
  <cols>
    <col min="12" max="14" width="9.54296875" customWidth="1"/>
  </cols>
  <sheetData>
    <row r="1" spans="1:10" hidden="1" x14ac:dyDescent="0.35">
      <c r="A1" t="s">
        <v>80</v>
      </c>
      <c r="B1" t="s">
        <v>81</v>
      </c>
    </row>
    <row r="2" spans="1:10" hidden="1" x14ac:dyDescent="0.35">
      <c r="A2" t="s">
        <v>80</v>
      </c>
    </row>
    <row r="3" spans="1:10" hidden="1" x14ac:dyDescent="0.35">
      <c r="A3" t="s">
        <v>80</v>
      </c>
    </row>
    <row r="4" spans="1:10" x14ac:dyDescent="0.35">
      <c r="B4" s="4" t="s">
        <v>125</v>
      </c>
    </row>
    <row r="5" spans="1:10" x14ac:dyDescent="0.35">
      <c r="B5" s="18" t="s">
        <v>299</v>
      </c>
    </row>
    <row r="6" spans="1:10" x14ac:dyDescent="0.35">
      <c r="B6" t="s">
        <v>300</v>
      </c>
    </row>
    <row r="7" spans="1:10" x14ac:dyDescent="0.35">
      <c r="B7" t="s">
        <v>114</v>
      </c>
    </row>
    <row r="8" spans="1:10" x14ac:dyDescent="0.35">
      <c r="B8" t="s">
        <v>123</v>
      </c>
    </row>
    <row r="10" spans="1:10" x14ac:dyDescent="0.35">
      <c r="B10" t="s">
        <v>36</v>
      </c>
      <c r="C10" s="10" t="s">
        <v>0</v>
      </c>
      <c r="G10" t="s">
        <v>36</v>
      </c>
      <c r="H10" t="s">
        <v>37</v>
      </c>
      <c r="I10" t="s">
        <v>38</v>
      </c>
      <c r="J10" t="s">
        <v>39</v>
      </c>
    </row>
    <row r="11" spans="1:10" x14ac:dyDescent="0.35">
      <c r="B11" t="s">
        <v>37</v>
      </c>
      <c r="C11" s="10" t="s">
        <v>1</v>
      </c>
      <c r="G11" t="s">
        <v>0</v>
      </c>
      <c r="H11" t="s">
        <v>0</v>
      </c>
      <c r="I11" t="s">
        <v>0</v>
      </c>
      <c r="J11" t="s">
        <v>28</v>
      </c>
    </row>
    <row r="12" spans="1:10" x14ac:dyDescent="0.35">
      <c r="B12" t="s">
        <v>38</v>
      </c>
      <c r="C12" s="10" t="s">
        <v>2</v>
      </c>
      <c r="G12" t="s">
        <v>0</v>
      </c>
      <c r="H12" t="s">
        <v>0</v>
      </c>
      <c r="I12" t="s">
        <v>2</v>
      </c>
      <c r="J12" t="s">
        <v>29</v>
      </c>
    </row>
    <row r="13" spans="1:10" x14ac:dyDescent="0.35">
      <c r="G13" t="s">
        <v>0</v>
      </c>
      <c r="H13" t="s">
        <v>1</v>
      </c>
      <c r="I13" t="s">
        <v>0</v>
      </c>
      <c r="J13" t="s">
        <v>30</v>
      </c>
    </row>
    <row r="14" spans="1:10" x14ac:dyDescent="0.35">
      <c r="B14" t="s">
        <v>117</v>
      </c>
      <c r="C14" s="11" t="str" cm="1">
        <f t="array" ref="C14">INDEX(multipleMatchLegacyTable[result],MATCH(1,INDEX((multipleMatchLegacyTable[criteria1]=C10)*(multipleMatchLegacyTable[criteria2]=C11)*(multipleMatchLegacyTable[criteria3]=C12),0,1),0))</f>
        <v>pineapple</v>
      </c>
      <c r="G14" t="s">
        <v>0</v>
      </c>
      <c r="H14" t="s">
        <v>1</v>
      </c>
      <c r="I14" t="s">
        <v>2</v>
      </c>
      <c r="J14" t="s">
        <v>31</v>
      </c>
    </row>
    <row r="15" spans="1:10" x14ac:dyDescent="0.35">
      <c r="B15" t="s">
        <v>9</v>
      </c>
      <c r="C15" t="str" cm="1">
        <f t="array" ref="C15">multiplematchLegacy(C10,C11,C12)</f>
        <v>pineapple</v>
      </c>
      <c r="G15" t="s">
        <v>1</v>
      </c>
      <c r="H15" t="s">
        <v>0</v>
      </c>
      <c r="I15" t="s">
        <v>0</v>
      </c>
      <c r="J15" t="s">
        <v>32</v>
      </c>
    </row>
    <row r="16" spans="1:10" x14ac:dyDescent="0.35">
      <c r="G16" t="s">
        <v>1</v>
      </c>
      <c r="H16" t="s">
        <v>0</v>
      </c>
      <c r="I16" t="s">
        <v>2</v>
      </c>
      <c r="J16" t="s">
        <v>33</v>
      </c>
    </row>
    <row r="17" spans="2:10" x14ac:dyDescent="0.35">
      <c r="G17" t="s">
        <v>1</v>
      </c>
      <c r="H17" t="s">
        <v>1</v>
      </c>
      <c r="I17" t="s">
        <v>0</v>
      </c>
      <c r="J17" t="s">
        <v>34</v>
      </c>
    </row>
    <row r="18" spans="2:10" x14ac:dyDescent="0.35">
      <c r="B18" t="s">
        <v>36</v>
      </c>
      <c r="C18" t="s">
        <v>37</v>
      </c>
      <c r="D18" t="s">
        <v>38</v>
      </c>
      <c r="G18" t="s">
        <v>1</v>
      </c>
      <c r="H18" t="s">
        <v>1</v>
      </c>
      <c r="I18" t="s">
        <v>2</v>
      </c>
      <c r="J18" t="s">
        <v>35</v>
      </c>
    </row>
    <row r="19" spans="2:10" x14ac:dyDescent="0.35">
      <c r="B19" t="s">
        <v>0</v>
      </c>
      <c r="C19" t="s">
        <v>0</v>
      </c>
      <c r="D19" t="s">
        <v>0</v>
      </c>
    </row>
    <row r="20" spans="2:10" x14ac:dyDescent="0.35">
      <c r="B20" t="s">
        <v>1</v>
      </c>
      <c r="C20" t="s">
        <v>1</v>
      </c>
      <c r="D20" t="s">
        <v>2</v>
      </c>
    </row>
    <row r="23" spans="2:10" x14ac:dyDescent="0.35">
      <c r="B23" s="27" t="s">
        <v>75</v>
      </c>
      <c r="C23" s="27"/>
      <c r="D23" s="27"/>
      <c r="E23" s="7" t="s">
        <v>76</v>
      </c>
      <c r="F23" s="7" t="s">
        <v>77</v>
      </c>
      <c r="G23" s="7" t="s">
        <v>78</v>
      </c>
    </row>
    <row r="24" spans="2:10" x14ac:dyDescent="0.35">
      <c r="B24" t="s">
        <v>36</v>
      </c>
      <c r="C24" t="s">
        <v>37</v>
      </c>
      <c r="D24" t="s">
        <v>38</v>
      </c>
      <c r="E24" t="s">
        <v>117</v>
      </c>
      <c r="F24" t="s">
        <v>117</v>
      </c>
      <c r="G24" t="s">
        <v>117</v>
      </c>
      <c r="I24" t="s">
        <v>79</v>
      </c>
      <c r="J24">
        <f>SUM(G25:G32)</f>
        <v>0</v>
      </c>
    </row>
    <row r="25" spans="2:10" x14ac:dyDescent="0.35">
      <c r="B25" s="9" t="s">
        <v>0</v>
      </c>
      <c r="C25" s="9" t="s">
        <v>0</v>
      </c>
      <c r="D25" s="9" t="s">
        <v>0</v>
      </c>
      <c r="E25" t="s">
        <v>28</v>
      </c>
      <c r="F25" t="str">
        <f>multiplematchLegacy(B25,C25,D25)</f>
        <v>apple</v>
      </c>
      <c r="G25">
        <f>IF(E25 = F25,0,1)</f>
        <v>0</v>
      </c>
    </row>
    <row r="26" spans="2:10" x14ac:dyDescent="0.35">
      <c r="B26" s="9" t="s">
        <v>0</v>
      </c>
      <c r="C26" s="9" t="s">
        <v>0</v>
      </c>
      <c r="D26" s="9" t="s">
        <v>2</v>
      </c>
      <c r="E26" t="s">
        <v>29</v>
      </c>
      <c r="F26" t="str">
        <f>multiplematchLegacy(B26,C26,D26)</f>
        <v>orange</v>
      </c>
      <c r="G26">
        <f>IF(E26 = F26,0,1)</f>
        <v>0</v>
      </c>
    </row>
    <row r="27" spans="2:10" x14ac:dyDescent="0.35">
      <c r="B27" s="9" t="s">
        <v>0</v>
      </c>
      <c r="C27" s="9" t="s">
        <v>1</v>
      </c>
      <c r="D27" s="9" t="s">
        <v>0</v>
      </c>
      <c r="E27" t="s">
        <v>30</v>
      </c>
      <c r="F27" t="str">
        <f>multiplematchLegacy(B27,C27,D27)</f>
        <v>banana</v>
      </c>
      <c r="G27">
        <f>IF(E27 = F27,0,1)</f>
        <v>0</v>
      </c>
    </row>
    <row r="28" spans="2:10" x14ac:dyDescent="0.35">
      <c r="B28" s="9" t="s">
        <v>0</v>
      </c>
      <c r="C28" s="9" t="s">
        <v>1</v>
      </c>
      <c r="D28" s="9" t="s">
        <v>2</v>
      </c>
      <c r="E28" t="s">
        <v>31</v>
      </c>
      <c r="F28" t="str">
        <f>multiplematchLegacy(B28,C28,D28)</f>
        <v>pineapple</v>
      </c>
      <c r="G28">
        <f>IF(E28 = F28,0,1)</f>
        <v>0</v>
      </c>
    </row>
    <row r="29" spans="2:10" x14ac:dyDescent="0.35">
      <c r="B29" s="9" t="s">
        <v>1</v>
      </c>
      <c r="C29" s="9" t="s">
        <v>0</v>
      </c>
      <c r="D29" s="9" t="s">
        <v>0</v>
      </c>
      <c r="E29" t="s">
        <v>32</v>
      </c>
      <c r="F29" t="str">
        <f>multiplematchLegacy(B29,C29,D29)</f>
        <v>carrot</v>
      </c>
      <c r="G29">
        <f>IF(E29 = F29,0,1)</f>
        <v>0</v>
      </c>
    </row>
    <row r="30" spans="2:10" x14ac:dyDescent="0.35">
      <c r="B30" s="9" t="s">
        <v>1</v>
      </c>
      <c r="C30" s="9" t="s">
        <v>0</v>
      </c>
      <c r="D30" s="9" t="s">
        <v>2</v>
      </c>
      <c r="E30" t="s">
        <v>33</v>
      </c>
      <c r="F30" t="str">
        <f>multiplematchLegacy(B30,C30,D30)</f>
        <v>eggplant</v>
      </c>
      <c r="G30">
        <f>IF(E30 = F30,0,1)</f>
        <v>0</v>
      </c>
    </row>
    <row r="31" spans="2:10" x14ac:dyDescent="0.35">
      <c r="B31" s="9" t="s">
        <v>1</v>
      </c>
      <c r="C31" s="9" t="s">
        <v>1</v>
      </c>
      <c r="D31" s="9" t="s">
        <v>0</v>
      </c>
      <c r="E31" t="s">
        <v>34</v>
      </c>
      <c r="F31" t="str">
        <f>multiplematchLegacy(B31,C31,D31)</f>
        <v>tomato</v>
      </c>
      <c r="G31">
        <f>IF(E31 = F31,0,1)</f>
        <v>0</v>
      </c>
    </row>
    <row r="32" spans="2:10" x14ac:dyDescent="0.35">
      <c r="B32" s="9" t="s">
        <v>1</v>
      </c>
      <c r="C32" s="9" t="s">
        <v>1</v>
      </c>
      <c r="D32" s="9" t="s">
        <v>2</v>
      </c>
      <c r="E32" t="s">
        <v>35</v>
      </c>
      <c r="F32" t="str">
        <f>multiplematchLegacy(B32,C32,D32)</f>
        <v>asparagus</v>
      </c>
      <c r="G32">
        <f>IF(E32 = F32,0,1)</f>
        <v>0</v>
      </c>
    </row>
  </sheetData>
  <mergeCells count="1">
    <mergeCell ref="B23:D23"/>
  </mergeCells>
  <pageMargins left="0.7" right="0.7" top="0.75" bottom="0.75" header="0.3" footer="0.3"/>
  <pageSetup orientation="portrait" r:id="rId1"/>
  <drawing r:id="rId2"/>
  <tableParts count="1">
    <tablePart r:id="rId3"/>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D58D0B-7CAD-4320-A4C5-84751D7F6BC2}">
  <sheetPr codeName="Sheet10"/>
  <dimension ref="A1:J31"/>
  <sheetViews>
    <sheetView topLeftCell="A4" workbookViewId="0">
      <selection activeCell="E16" sqref="E16"/>
    </sheetView>
  </sheetViews>
  <sheetFormatPr defaultRowHeight="14.5" x14ac:dyDescent="0.35"/>
  <cols>
    <col min="12" max="14" width="9.54296875" customWidth="1"/>
  </cols>
  <sheetData>
    <row r="1" spans="1:10" hidden="1" x14ac:dyDescent="0.35">
      <c r="A1" t="s">
        <v>80</v>
      </c>
      <c r="B1" t="s">
        <v>81</v>
      </c>
    </row>
    <row r="2" spans="1:10" hidden="1" x14ac:dyDescent="0.35">
      <c r="A2" t="s">
        <v>80</v>
      </c>
    </row>
    <row r="3" spans="1:10" hidden="1" x14ac:dyDescent="0.35">
      <c r="A3" t="s">
        <v>80</v>
      </c>
    </row>
    <row r="4" spans="1:10" x14ac:dyDescent="0.35">
      <c r="B4" s="4" t="s">
        <v>124</v>
      </c>
    </row>
    <row r="5" spans="1:10" x14ac:dyDescent="0.35">
      <c r="B5" s="18" t="s">
        <v>298</v>
      </c>
    </row>
    <row r="6" spans="1:10" x14ac:dyDescent="0.35">
      <c r="B6" t="s">
        <v>115</v>
      </c>
    </row>
    <row r="7" spans="1:10" x14ac:dyDescent="0.35">
      <c r="B7" t="s">
        <v>126</v>
      </c>
    </row>
    <row r="9" spans="1:10" x14ac:dyDescent="0.35">
      <c r="B9" t="s">
        <v>36</v>
      </c>
      <c r="C9" s="10" t="s">
        <v>0</v>
      </c>
      <c r="G9" t="s">
        <v>36</v>
      </c>
      <c r="H9" t="s">
        <v>37</v>
      </c>
      <c r="I9" t="s">
        <v>38</v>
      </c>
      <c r="J9" t="s">
        <v>39</v>
      </c>
    </row>
    <row r="10" spans="1:10" x14ac:dyDescent="0.35">
      <c r="B10" t="s">
        <v>37</v>
      </c>
      <c r="C10" s="10" t="s">
        <v>1</v>
      </c>
      <c r="G10" t="s">
        <v>0</v>
      </c>
      <c r="H10" t="s">
        <v>0</v>
      </c>
      <c r="I10" t="s">
        <v>0</v>
      </c>
      <c r="J10" t="s">
        <v>28</v>
      </c>
    </row>
    <row r="11" spans="1:10" x14ac:dyDescent="0.35">
      <c r="B11" t="s">
        <v>38</v>
      </c>
      <c r="C11" s="10" t="s">
        <v>2</v>
      </c>
      <c r="G11" t="s">
        <v>0</v>
      </c>
      <c r="H11" t="s">
        <v>0</v>
      </c>
      <c r="I11" t="s">
        <v>2</v>
      </c>
      <c r="J11" t="s">
        <v>29</v>
      </c>
    </row>
    <row r="12" spans="1:10" x14ac:dyDescent="0.35">
      <c r="G12" t="s">
        <v>0</v>
      </c>
      <c r="H12" t="s">
        <v>1</v>
      </c>
      <c r="I12" t="s">
        <v>0</v>
      </c>
      <c r="J12" t="s">
        <v>30</v>
      </c>
    </row>
    <row r="13" spans="1:10" x14ac:dyDescent="0.35">
      <c r="B13" t="s">
        <v>116</v>
      </c>
      <c r="C13" s="11" t="str" cm="1">
        <f t="array" ref="C13">INDEX(multipleMatchNewTable[result],MATCH(1,(multipleMatchNewTable[criteria1]=C9)*(multipleMatchNewTable[criteria2]=C10)*(multipleMatchNewTable[criteria3]=C11),0))</f>
        <v>pineapple</v>
      </c>
      <c r="G13" t="s">
        <v>0</v>
      </c>
      <c r="H13" t="s">
        <v>1</v>
      </c>
      <c r="I13" t="s">
        <v>2</v>
      </c>
      <c r="J13" t="s">
        <v>31</v>
      </c>
    </row>
    <row r="14" spans="1:10" x14ac:dyDescent="0.35">
      <c r="B14" t="s">
        <v>9</v>
      </c>
      <c r="C14" t="str" cm="1">
        <f t="array" ref="C14">multipleMatchNew(Input_criteria1,Input_criteria2,Input_criteria3)</f>
        <v>pineapple</v>
      </c>
      <c r="G14" t="s">
        <v>1</v>
      </c>
      <c r="H14" t="s">
        <v>0</v>
      </c>
      <c r="I14" t="s">
        <v>0</v>
      </c>
      <c r="J14" t="s">
        <v>32</v>
      </c>
    </row>
    <row r="15" spans="1:10" x14ac:dyDescent="0.35">
      <c r="G15" t="s">
        <v>1</v>
      </c>
      <c r="H15" t="s">
        <v>0</v>
      </c>
      <c r="I15" t="s">
        <v>2</v>
      </c>
      <c r="J15" t="s">
        <v>33</v>
      </c>
    </row>
    <row r="16" spans="1:10" x14ac:dyDescent="0.35">
      <c r="G16" t="s">
        <v>1</v>
      </c>
      <c r="H16" t="s">
        <v>1</v>
      </c>
      <c r="I16" t="s">
        <v>0</v>
      </c>
      <c r="J16" t="s">
        <v>34</v>
      </c>
    </row>
    <row r="17" spans="2:10" x14ac:dyDescent="0.35">
      <c r="B17" t="s">
        <v>36</v>
      </c>
      <c r="C17" t="s">
        <v>37</v>
      </c>
      <c r="D17" t="s">
        <v>38</v>
      </c>
      <c r="G17" t="s">
        <v>1</v>
      </c>
      <c r="H17" t="s">
        <v>1</v>
      </c>
      <c r="I17" t="s">
        <v>2</v>
      </c>
      <c r="J17" t="s">
        <v>35</v>
      </c>
    </row>
    <row r="18" spans="2:10" x14ac:dyDescent="0.35">
      <c r="B18" t="s">
        <v>0</v>
      </c>
      <c r="C18" t="s">
        <v>0</v>
      </c>
      <c r="D18" t="s">
        <v>0</v>
      </c>
    </row>
    <row r="19" spans="2:10" x14ac:dyDescent="0.35">
      <c r="B19" t="s">
        <v>1</v>
      </c>
      <c r="C19" t="s">
        <v>1</v>
      </c>
      <c r="D19" t="s">
        <v>2</v>
      </c>
    </row>
    <row r="22" spans="2:10" x14ac:dyDescent="0.35">
      <c r="B22" s="27" t="s">
        <v>75</v>
      </c>
      <c r="C22" s="27"/>
      <c r="D22" s="27"/>
      <c r="E22" s="7" t="s">
        <v>76</v>
      </c>
      <c r="F22" s="7" t="s">
        <v>77</v>
      </c>
      <c r="G22" s="7" t="s">
        <v>78</v>
      </c>
    </row>
    <row r="23" spans="2:10" x14ac:dyDescent="0.35">
      <c r="B23" t="s">
        <v>36</v>
      </c>
      <c r="C23" t="s">
        <v>37</v>
      </c>
      <c r="D23" t="s">
        <v>38</v>
      </c>
      <c r="E23" t="s">
        <v>116</v>
      </c>
      <c r="F23" t="s">
        <v>116</v>
      </c>
      <c r="G23" t="s">
        <v>116</v>
      </c>
      <c r="I23" t="s">
        <v>79</v>
      </c>
      <c r="J23">
        <f>SUM(G24:G31)</f>
        <v>0</v>
      </c>
    </row>
    <row r="24" spans="2:10" x14ac:dyDescent="0.35">
      <c r="B24" s="9" t="s">
        <v>0</v>
      </c>
      <c r="C24" s="9" t="s">
        <v>0</v>
      </c>
      <c r="D24" s="9" t="s">
        <v>0</v>
      </c>
      <c r="E24" t="s">
        <v>28</v>
      </c>
      <c r="F24" t="str">
        <f>multipleMatchNew(B24,C24,D24)</f>
        <v>apple</v>
      </c>
      <c r="G24">
        <f>IF(E24 = F24,0,1)</f>
        <v>0</v>
      </c>
    </row>
    <row r="25" spans="2:10" x14ac:dyDescent="0.35">
      <c r="B25" s="9" t="s">
        <v>0</v>
      </c>
      <c r="C25" s="9" t="s">
        <v>0</v>
      </c>
      <c r="D25" s="9" t="s">
        <v>2</v>
      </c>
      <c r="E25" t="s">
        <v>29</v>
      </c>
      <c r="F25" t="str">
        <f>multipleMatchNew(B25,C25,D25)</f>
        <v>orange</v>
      </c>
      <c r="G25">
        <f>IF(E25 = F25,0,1)</f>
        <v>0</v>
      </c>
    </row>
    <row r="26" spans="2:10" x14ac:dyDescent="0.35">
      <c r="B26" s="9" t="s">
        <v>0</v>
      </c>
      <c r="C26" s="9" t="s">
        <v>1</v>
      </c>
      <c r="D26" s="9" t="s">
        <v>0</v>
      </c>
      <c r="E26" t="s">
        <v>30</v>
      </c>
      <c r="F26" t="str">
        <f>multipleMatchNew(B26,C26,D26)</f>
        <v>banana</v>
      </c>
      <c r="G26">
        <f>IF(E26 = F26,0,1)</f>
        <v>0</v>
      </c>
    </row>
    <row r="27" spans="2:10" x14ac:dyDescent="0.35">
      <c r="B27" s="9" t="s">
        <v>0</v>
      </c>
      <c r="C27" s="9" t="s">
        <v>1</v>
      </c>
      <c r="D27" s="9" t="s">
        <v>2</v>
      </c>
      <c r="E27" t="s">
        <v>31</v>
      </c>
      <c r="F27" t="str">
        <f>multipleMatchNew(B27,C27,D27)</f>
        <v>pineapple</v>
      </c>
      <c r="G27">
        <f>IF(E27 = F27,0,1)</f>
        <v>0</v>
      </c>
    </row>
    <row r="28" spans="2:10" x14ac:dyDescent="0.35">
      <c r="B28" s="9" t="s">
        <v>1</v>
      </c>
      <c r="C28" s="9" t="s">
        <v>0</v>
      </c>
      <c r="D28" s="9" t="s">
        <v>0</v>
      </c>
      <c r="E28" t="s">
        <v>32</v>
      </c>
      <c r="F28" t="str">
        <f>multipleMatchNew(B28,C28,D28)</f>
        <v>carrot</v>
      </c>
      <c r="G28">
        <f>IF(E28 = F28,0,1)</f>
        <v>0</v>
      </c>
    </row>
    <row r="29" spans="2:10" x14ac:dyDescent="0.35">
      <c r="B29" s="9" t="s">
        <v>1</v>
      </c>
      <c r="C29" s="9" t="s">
        <v>0</v>
      </c>
      <c r="D29" s="9" t="s">
        <v>2</v>
      </c>
      <c r="E29" t="s">
        <v>33</v>
      </c>
      <c r="F29" t="str">
        <f>multipleMatchNew(B29,C29,D29)</f>
        <v>eggplant</v>
      </c>
      <c r="G29">
        <f>IF(E29 = F29,0,1)</f>
        <v>0</v>
      </c>
    </row>
    <row r="30" spans="2:10" x14ac:dyDescent="0.35">
      <c r="B30" s="9" t="s">
        <v>1</v>
      </c>
      <c r="C30" s="9" t="s">
        <v>1</v>
      </c>
      <c r="D30" s="9" t="s">
        <v>0</v>
      </c>
      <c r="E30" t="s">
        <v>34</v>
      </c>
      <c r="F30" t="str">
        <f>multipleMatchNew(B30,C30,D30)</f>
        <v>tomato</v>
      </c>
      <c r="G30">
        <f>IF(E30 = F30,0,1)</f>
        <v>0</v>
      </c>
    </row>
    <row r="31" spans="2:10" x14ac:dyDescent="0.35">
      <c r="B31" s="9" t="s">
        <v>1</v>
      </c>
      <c r="C31" s="9" t="s">
        <v>1</v>
      </c>
      <c r="D31" s="9" t="s">
        <v>2</v>
      </c>
      <c r="E31" t="s">
        <v>35</v>
      </c>
      <c r="F31" t="str">
        <f>multipleMatchNew(B31,C31,D31)</f>
        <v>asparagus</v>
      </c>
      <c r="G31">
        <f>IF(E31 = F31,0,1)</f>
        <v>0</v>
      </c>
    </row>
  </sheetData>
  <mergeCells count="1">
    <mergeCell ref="B22:D22"/>
  </mergeCells>
  <pageMargins left="0.7" right="0.7" top="0.75" bottom="0.75" header="0.3" footer="0.3"/>
  <pageSetup orientation="portrait" r:id="rId1"/>
  <drawing r:id="rId2"/>
  <tableParts count="1">
    <tablePart r:id="rId3"/>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B94913-7E95-4CA0-8A57-40911D00E4D8}">
  <sheetPr codeName="Sheet12"/>
  <dimension ref="A1:G96"/>
  <sheetViews>
    <sheetView topLeftCell="A4" workbookViewId="0">
      <selection activeCell="E24" sqref="E24"/>
    </sheetView>
  </sheetViews>
  <sheetFormatPr defaultRowHeight="14.5" x14ac:dyDescent="0.35"/>
  <cols>
    <col min="1" max="6" width="14.453125" customWidth="1"/>
    <col min="7" max="8" width="18.54296875" bestFit="1" customWidth="1"/>
    <col min="9" max="9" width="18.54296875" customWidth="1"/>
    <col min="10" max="10" width="11.453125" customWidth="1"/>
    <col min="11" max="11" width="11" bestFit="1" customWidth="1"/>
  </cols>
  <sheetData>
    <row r="1" spans="1:2" hidden="1" x14ac:dyDescent="0.35">
      <c r="A1" t="s">
        <v>80</v>
      </c>
      <c r="B1" t="s">
        <v>81</v>
      </c>
    </row>
    <row r="2" spans="1:2" hidden="1" x14ac:dyDescent="0.35">
      <c r="A2" t="s">
        <v>80</v>
      </c>
    </row>
    <row r="3" spans="1:2" hidden="1" x14ac:dyDescent="0.35">
      <c r="A3" t="s">
        <v>80</v>
      </c>
    </row>
    <row r="4" spans="1:2" x14ac:dyDescent="0.35">
      <c r="A4" s="5" t="s">
        <v>127</v>
      </c>
    </row>
    <row r="5" spans="1:2" x14ac:dyDescent="0.35">
      <c r="A5" t="s">
        <v>301</v>
      </c>
    </row>
    <row r="6" spans="1:2" x14ac:dyDescent="0.35">
      <c r="A6" t="s">
        <v>302</v>
      </c>
    </row>
    <row r="7" spans="1:2" x14ac:dyDescent="0.35">
      <c r="A7" t="s">
        <v>303</v>
      </c>
    </row>
    <row r="8" spans="1:2" x14ac:dyDescent="0.35">
      <c r="A8" t="s">
        <v>304</v>
      </c>
    </row>
    <row r="9" spans="1:2" x14ac:dyDescent="0.35">
      <c r="A9" t="s">
        <v>129</v>
      </c>
    </row>
    <row r="10" spans="1:2" x14ac:dyDescent="0.35">
      <c r="A10" t="s">
        <v>133</v>
      </c>
    </row>
    <row r="13" spans="1:2" x14ac:dyDescent="0.35">
      <c r="A13" s="17" t="s">
        <v>64</v>
      </c>
      <c r="B13" s="17" t="s">
        <v>3</v>
      </c>
    </row>
    <row r="14" spans="1:2" x14ac:dyDescent="0.35">
      <c r="A14" s="15">
        <v>2</v>
      </c>
      <c r="B14" s="15">
        <v>10</v>
      </c>
    </row>
    <row r="15" spans="1:2" x14ac:dyDescent="0.35">
      <c r="A15" s="16">
        <v>3</v>
      </c>
      <c r="B15" s="16">
        <v>11</v>
      </c>
    </row>
    <row r="16" spans="1:2" x14ac:dyDescent="0.35">
      <c r="A16" s="15">
        <v>4</v>
      </c>
      <c r="B16" s="15">
        <v>12</v>
      </c>
    </row>
    <row r="17" spans="1:7" x14ac:dyDescent="0.35">
      <c r="A17" s="16">
        <v>5</v>
      </c>
      <c r="B17" s="16">
        <v>13</v>
      </c>
    </row>
    <row r="18" spans="1:7" x14ac:dyDescent="0.35">
      <c r="A18" s="15">
        <v>6</v>
      </c>
      <c r="B18" s="15">
        <v>14</v>
      </c>
    </row>
    <row r="20" spans="1:7" x14ac:dyDescent="0.35">
      <c r="A20" t="s">
        <v>4</v>
      </c>
      <c r="B20" s="10">
        <v>2.1</v>
      </c>
      <c r="D20" t="s">
        <v>134</v>
      </c>
    </row>
    <row r="21" spans="1:7" x14ac:dyDescent="0.35">
      <c r="A21" t="s">
        <v>128</v>
      </c>
      <c r="B21" s="11" cm="1">
        <f t="array" ref="B21">MAX((InexactNumericLookupTable[Lookup]&lt;=B20)*InexactNumericLookupTable[val])</f>
        <v>10</v>
      </c>
      <c r="D21" cm="1">
        <f t="array" ref="D21">SUMPRODUCT(MAX((InexactNumericLookupTable[Lookup]&lt;=B20)*InexactNumericLookupTable[val]))</f>
        <v>10</v>
      </c>
    </row>
    <row r="25" spans="1:7" x14ac:dyDescent="0.35">
      <c r="A25" s="7" t="s">
        <v>75</v>
      </c>
      <c r="B25" s="7" t="s">
        <v>76</v>
      </c>
      <c r="C25" s="7" t="s">
        <v>77</v>
      </c>
      <c r="D25" s="7" t="s">
        <v>78</v>
      </c>
    </row>
    <row r="26" spans="1:7" x14ac:dyDescent="0.35">
      <c r="A26" t="s">
        <v>4</v>
      </c>
      <c r="B26" t="s">
        <v>128</v>
      </c>
      <c r="C26" t="s">
        <v>128</v>
      </c>
      <c r="D26" t="s">
        <v>128</v>
      </c>
      <c r="F26" t="s">
        <v>79</v>
      </c>
      <c r="G26">
        <f>SUM(D27:D37)</f>
        <v>0</v>
      </c>
    </row>
    <row r="27" spans="1:7" x14ac:dyDescent="0.35">
      <c r="A27" s="9">
        <v>1.5</v>
      </c>
      <c r="B27">
        <v>0</v>
      </c>
      <c r="C27">
        <f>ascendingInexactLookup(A27)</f>
        <v>0</v>
      </c>
      <c r="D27">
        <f>IF(ABS(B27-C27)&lt; 0.000001,0,1)</f>
        <v>0</v>
      </c>
    </row>
    <row r="28" spans="1:7" x14ac:dyDescent="0.35">
      <c r="A28" s="9">
        <f>A27+0.5</f>
        <v>2</v>
      </c>
      <c r="B28">
        <v>10</v>
      </c>
      <c r="C28">
        <f>ascendingInexactLookup(A28)</f>
        <v>10</v>
      </c>
      <c r="D28">
        <f>IF(ABS(B28-C28)&lt; 0.000001,0,1)</f>
        <v>0</v>
      </c>
    </row>
    <row r="29" spans="1:7" x14ac:dyDescent="0.35">
      <c r="A29" s="9">
        <f t="shared" ref="A29:A37" si="0">A28+0.5</f>
        <v>2.5</v>
      </c>
      <c r="B29">
        <v>10</v>
      </c>
      <c r="C29">
        <f>ascendingInexactLookup(A29)</f>
        <v>10</v>
      </c>
      <c r="D29">
        <f>IF(ABS(B29-C29)&lt; 0.000001,0,1)</f>
        <v>0</v>
      </c>
    </row>
    <row r="30" spans="1:7" x14ac:dyDescent="0.35">
      <c r="A30" s="9">
        <f t="shared" si="0"/>
        <v>3</v>
      </c>
      <c r="B30">
        <v>11</v>
      </c>
      <c r="C30">
        <f>ascendingInexactLookup(A30)</f>
        <v>11</v>
      </c>
      <c r="D30">
        <f>IF(ABS(B30-C30)&lt; 0.000001,0,1)</f>
        <v>0</v>
      </c>
    </row>
    <row r="31" spans="1:7" x14ac:dyDescent="0.35">
      <c r="A31" s="9">
        <f t="shared" si="0"/>
        <v>3.5</v>
      </c>
      <c r="B31">
        <v>11</v>
      </c>
      <c r="C31">
        <f>ascendingInexactLookup(A31)</f>
        <v>11</v>
      </c>
      <c r="D31">
        <f>IF(ABS(B31-C31)&lt; 0.000001,0,1)</f>
        <v>0</v>
      </c>
    </row>
    <row r="32" spans="1:7" x14ac:dyDescent="0.35">
      <c r="A32" s="9">
        <f t="shared" si="0"/>
        <v>4</v>
      </c>
      <c r="B32">
        <v>12</v>
      </c>
      <c r="C32">
        <f>ascendingInexactLookup(A32)</f>
        <v>12</v>
      </c>
      <c r="D32">
        <f>IF(ABS(B32-C32)&lt; 0.000001,0,1)</f>
        <v>0</v>
      </c>
    </row>
    <row r="33" spans="1:4" x14ac:dyDescent="0.35">
      <c r="A33" s="9">
        <f t="shared" si="0"/>
        <v>4.5</v>
      </c>
      <c r="B33">
        <v>12</v>
      </c>
      <c r="C33">
        <f>ascendingInexactLookup(A33)</f>
        <v>12</v>
      </c>
      <c r="D33">
        <f>IF(ABS(B33-C33)&lt; 0.000001,0,1)</f>
        <v>0</v>
      </c>
    </row>
    <row r="34" spans="1:4" x14ac:dyDescent="0.35">
      <c r="A34" s="9">
        <f t="shared" si="0"/>
        <v>5</v>
      </c>
      <c r="B34">
        <v>13</v>
      </c>
      <c r="C34">
        <f>ascendingInexactLookup(A34)</f>
        <v>13</v>
      </c>
      <c r="D34">
        <f>IF(ABS(B34-C34)&lt; 0.000001,0,1)</f>
        <v>0</v>
      </c>
    </row>
    <row r="35" spans="1:4" x14ac:dyDescent="0.35">
      <c r="A35" s="9">
        <f t="shared" si="0"/>
        <v>5.5</v>
      </c>
      <c r="B35">
        <v>13</v>
      </c>
      <c r="C35">
        <f>ascendingInexactLookup(A35)</f>
        <v>13</v>
      </c>
      <c r="D35">
        <f>IF(ABS(B35-C35)&lt; 0.000001,0,1)</f>
        <v>0</v>
      </c>
    </row>
    <row r="36" spans="1:4" x14ac:dyDescent="0.35">
      <c r="A36" s="9">
        <f t="shared" si="0"/>
        <v>6</v>
      </c>
      <c r="B36">
        <v>14</v>
      </c>
      <c r="C36">
        <f>ascendingInexactLookup(A36)</f>
        <v>14</v>
      </c>
      <c r="D36">
        <f>IF(ABS(B36-C36)&lt; 0.000001,0,1)</f>
        <v>0</v>
      </c>
    </row>
    <row r="37" spans="1:4" x14ac:dyDescent="0.35">
      <c r="A37" s="9">
        <f t="shared" si="0"/>
        <v>6.5</v>
      </c>
      <c r="B37">
        <v>14</v>
      </c>
      <c r="C37">
        <f>ascendingInexactLookup(A37)</f>
        <v>14</v>
      </c>
      <c r="D37">
        <f>IF(ABS(B37-C37)&lt; 0.000001,0,1)</f>
        <v>0</v>
      </c>
    </row>
    <row r="96" spans="3:3" x14ac:dyDescent="0.35">
      <c r="C96" s="6"/>
    </row>
  </sheetData>
  <pageMargins left="0.7" right="0.7" top="0.75" bottom="0.75" header="0.3" footer="0.3"/>
  <pageSetup orientation="portrait" r:id="rId1"/>
  <drawing r:id="rId2"/>
  <tableParts count="1">
    <tablePart r:id="rId3"/>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A149CD-D1E5-415E-8981-7ABD1DF797E4}">
  <sheetPr codeName="Sheet13"/>
  <dimension ref="A1:G99"/>
  <sheetViews>
    <sheetView topLeftCell="A20" workbookViewId="0">
      <selection activeCell="F30" sqref="F30"/>
    </sheetView>
  </sheetViews>
  <sheetFormatPr defaultRowHeight="14.5" x14ac:dyDescent="0.35"/>
  <cols>
    <col min="1" max="6" width="14.453125" customWidth="1"/>
    <col min="7" max="8" width="18.54296875" bestFit="1" customWidth="1"/>
    <col min="9" max="9" width="18.54296875" customWidth="1"/>
    <col min="10" max="10" width="11.453125" customWidth="1"/>
    <col min="11" max="11" width="11" bestFit="1" customWidth="1"/>
  </cols>
  <sheetData>
    <row r="1" spans="1:2" hidden="1" x14ac:dyDescent="0.35">
      <c r="A1" t="s">
        <v>80</v>
      </c>
      <c r="B1" t="s">
        <v>81</v>
      </c>
    </row>
    <row r="2" spans="1:2" hidden="1" x14ac:dyDescent="0.35">
      <c r="A2" t="s">
        <v>80</v>
      </c>
    </row>
    <row r="3" spans="1:2" hidden="1" x14ac:dyDescent="0.35">
      <c r="A3" t="s">
        <v>80</v>
      </c>
    </row>
    <row r="4" spans="1:2" x14ac:dyDescent="0.35">
      <c r="A4" s="5" t="s">
        <v>130</v>
      </c>
    </row>
    <row r="5" spans="1:2" x14ac:dyDescent="0.35">
      <c r="A5" t="s">
        <v>131</v>
      </c>
    </row>
    <row r="6" spans="1:2" x14ac:dyDescent="0.35">
      <c r="A6" t="s">
        <v>132</v>
      </c>
    </row>
    <row r="7" spans="1:2" x14ac:dyDescent="0.35">
      <c r="A7" t="s">
        <v>138</v>
      </c>
    </row>
    <row r="9" spans="1:2" x14ac:dyDescent="0.35">
      <c r="A9" t="s">
        <v>140</v>
      </c>
    </row>
    <row r="10" spans="1:2" x14ac:dyDescent="0.35">
      <c r="A10" t="s">
        <v>141</v>
      </c>
    </row>
    <row r="12" spans="1:2" x14ac:dyDescent="0.35">
      <c r="A12" t="s">
        <v>294</v>
      </c>
    </row>
    <row r="13" spans="1:2" x14ac:dyDescent="0.35">
      <c r="A13" t="s">
        <v>293</v>
      </c>
    </row>
    <row r="15" spans="1:2" x14ac:dyDescent="0.35">
      <c r="A15" t="s">
        <v>136</v>
      </c>
      <c r="B15" t="s">
        <v>137</v>
      </c>
    </row>
    <row r="16" spans="1:2" x14ac:dyDescent="0.35">
      <c r="A16" s="17" t="s">
        <v>64</v>
      </c>
      <c r="B16" s="17" t="s">
        <v>3</v>
      </c>
    </row>
    <row r="17" spans="1:7" x14ac:dyDescent="0.35">
      <c r="A17" s="15">
        <v>2</v>
      </c>
      <c r="B17" s="15">
        <v>14</v>
      </c>
    </row>
    <row r="18" spans="1:7" x14ac:dyDescent="0.35">
      <c r="A18" s="16">
        <v>3</v>
      </c>
      <c r="B18" s="16">
        <v>13</v>
      </c>
    </row>
    <row r="19" spans="1:7" x14ac:dyDescent="0.35">
      <c r="A19" s="15">
        <v>4</v>
      </c>
      <c r="B19" s="15">
        <v>12</v>
      </c>
    </row>
    <row r="20" spans="1:7" x14ac:dyDescent="0.35">
      <c r="A20" s="16">
        <v>5</v>
      </c>
      <c r="B20" s="16">
        <v>11</v>
      </c>
    </row>
    <row r="21" spans="1:7" x14ac:dyDescent="0.35">
      <c r="A21" s="15">
        <v>6</v>
      </c>
      <c r="B21" s="15">
        <v>10</v>
      </c>
    </row>
    <row r="23" spans="1:7" x14ac:dyDescent="0.35">
      <c r="A23" t="s">
        <v>4</v>
      </c>
      <c r="B23" s="10">
        <v>2.5</v>
      </c>
      <c r="C23" s="5" t="s">
        <v>305</v>
      </c>
    </row>
    <row r="24" spans="1:7" x14ac:dyDescent="0.35">
      <c r="A24" t="s">
        <v>135</v>
      </c>
      <c r="B24" s="19" cm="1">
        <f t="array" ref="B24">IF(B23&lt;INDEX(InexactNumericLookupB[Lookup],1),0,INDEX(InexactNumericLookupB[val], MATCH(MAX((InexactNumericLookupB[Lookup]&lt;=B23)*InexactNumericLookupB[Lookup]), InexactNumericLookupB[Lookup], 0)))</f>
        <v>14</v>
      </c>
    </row>
    <row r="25" spans="1:7" x14ac:dyDescent="0.35">
      <c r="B25" s="14"/>
    </row>
    <row r="28" spans="1:7" x14ac:dyDescent="0.35">
      <c r="A28" s="7" t="s">
        <v>75</v>
      </c>
      <c r="B28" s="7" t="s">
        <v>76</v>
      </c>
      <c r="C28" s="7" t="s">
        <v>77</v>
      </c>
      <c r="D28" s="7" t="s">
        <v>78</v>
      </c>
    </row>
    <row r="29" spans="1:7" x14ac:dyDescent="0.35">
      <c r="A29" t="s">
        <v>4</v>
      </c>
      <c r="B29" t="s">
        <v>135</v>
      </c>
      <c r="C29" t="s">
        <v>135</v>
      </c>
      <c r="D29" t="s">
        <v>135</v>
      </c>
      <c r="F29" t="s">
        <v>79</v>
      </c>
      <c r="G29">
        <f>SUM(D30:D40)</f>
        <v>0</v>
      </c>
    </row>
    <row r="30" spans="1:7" x14ac:dyDescent="0.35">
      <c r="A30" s="9">
        <v>1.5</v>
      </c>
      <c r="B30">
        <v>0</v>
      </c>
      <c r="C30">
        <f>numericInexactLookupSafer(A30)</f>
        <v>0</v>
      </c>
      <c r="D30">
        <f>IF(ABS(B30-C30)&lt; 0.000001,0,1)</f>
        <v>0</v>
      </c>
    </row>
    <row r="31" spans="1:7" x14ac:dyDescent="0.35">
      <c r="A31" s="9">
        <v>2</v>
      </c>
      <c r="B31">
        <v>14</v>
      </c>
      <c r="C31">
        <f>numericInexactLookupSafer(A31)</f>
        <v>14</v>
      </c>
      <c r="D31">
        <f>IF(ABS(B31-C31)&lt; 0.000001,0,1)</f>
        <v>0</v>
      </c>
    </row>
    <row r="32" spans="1:7" x14ac:dyDescent="0.35">
      <c r="A32" s="9">
        <f>A30+0.5</f>
        <v>2</v>
      </c>
      <c r="B32">
        <v>14</v>
      </c>
      <c r="C32">
        <f>numericInexactLookupSafer(A32)</f>
        <v>14</v>
      </c>
      <c r="D32">
        <f>IF(ABS(B32-C32)&lt; 0.000001,0,1)</f>
        <v>0</v>
      </c>
    </row>
    <row r="33" spans="1:4" x14ac:dyDescent="0.35">
      <c r="A33" s="9">
        <f t="shared" ref="A33:A40" si="0">A32+0.5</f>
        <v>2.5</v>
      </c>
      <c r="B33">
        <v>14</v>
      </c>
      <c r="C33">
        <f>numericInexactLookupSafer(A33)</f>
        <v>14</v>
      </c>
      <c r="D33">
        <f>IF(ABS(B33-C33)&lt; 0.000001,0,1)</f>
        <v>0</v>
      </c>
    </row>
    <row r="34" spans="1:4" x14ac:dyDescent="0.35">
      <c r="A34" s="9">
        <f t="shared" si="0"/>
        <v>3</v>
      </c>
      <c r="B34">
        <v>13</v>
      </c>
      <c r="C34">
        <f>numericInexactLookupSafer(A34)</f>
        <v>13</v>
      </c>
      <c r="D34">
        <f>IF(ABS(B34-C34)&lt; 0.000001,0,1)</f>
        <v>0</v>
      </c>
    </row>
    <row r="35" spans="1:4" x14ac:dyDescent="0.35">
      <c r="A35" s="9">
        <f t="shared" si="0"/>
        <v>3.5</v>
      </c>
      <c r="B35">
        <v>13</v>
      </c>
      <c r="C35">
        <f>numericInexactLookupSafer(A35)</f>
        <v>13</v>
      </c>
      <c r="D35">
        <f>IF(ABS(B35-C35)&lt; 0.000001,0,1)</f>
        <v>0</v>
      </c>
    </row>
    <row r="36" spans="1:4" x14ac:dyDescent="0.35">
      <c r="A36" s="9">
        <f t="shared" si="0"/>
        <v>4</v>
      </c>
      <c r="B36">
        <v>12</v>
      </c>
      <c r="C36">
        <f>numericInexactLookupSafer(A36)</f>
        <v>12</v>
      </c>
      <c r="D36">
        <f>IF(ABS(B36-C36)&lt; 0.000001,0,1)</f>
        <v>0</v>
      </c>
    </row>
    <row r="37" spans="1:4" x14ac:dyDescent="0.35">
      <c r="A37" s="9">
        <f t="shared" si="0"/>
        <v>4.5</v>
      </c>
      <c r="B37">
        <v>12</v>
      </c>
      <c r="C37">
        <f>numericInexactLookupSafer(A37)</f>
        <v>12</v>
      </c>
      <c r="D37">
        <f>IF(ABS(B37-C37)&lt; 0.000001,0,1)</f>
        <v>0</v>
      </c>
    </row>
    <row r="38" spans="1:4" x14ac:dyDescent="0.35">
      <c r="A38" s="9">
        <f t="shared" si="0"/>
        <v>5</v>
      </c>
      <c r="B38">
        <v>11</v>
      </c>
      <c r="C38">
        <f>numericInexactLookupSafer(A38)</f>
        <v>11</v>
      </c>
      <c r="D38">
        <f>IF(ABS(B38-C38)&lt; 0.000001,0,1)</f>
        <v>0</v>
      </c>
    </row>
    <row r="39" spans="1:4" x14ac:dyDescent="0.35">
      <c r="A39" s="9">
        <f t="shared" si="0"/>
        <v>5.5</v>
      </c>
      <c r="B39">
        <v>11</v>
      </c>
      <c r="C39">
        <f>numericInexactLookupSafer(A39)</f>
        <v>11</v>
      </c>
      <c r="D39">
        <f>IF(ABS(B39-C39)&lt; 0.000001,0,1)</f>
        <v>0</v>
      </c>
    </row>
    <row r="40" spans="1:4" x14ac:dyDescent="0.35">
      <c r="A40" s="9">
        <f t="shared" si="0"/>
        <v>6</v>
      </c>
      <c r="B40">
        <v>10</v>
      </c>
      <c r="C40">
        <f>numericInexactLookupSafer(A40)</f>
        <v>10</v>
      </c>
      <c r="D40">
        <f>IF(ABS(B40-C40)&lt; 0.000001,0,1)</f>
        <v>0</v>
      </c>
    </row>
    <row r="99" spans="3:3" x14ac:dyDescent="0.35">
      <c r="C99" s="6"/>
    </row>
  </sheetData>
  <pageMargins left="0.7" right="0.7" top="0.75" bottom="0.75" header="0.3" footer="0.3"/>
  <pageSetup orientation="portrait" r:id="rId1"/>
  <drawing r:id="rId2"/>
  <tableParts count="1">
    <tablePart r:id="rId3"/>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373321-64C8-41E9-B24D-C88A69F7DA6C}">
  <sheetPr codeName="Sheet11"/>
  <dimension ref="A1:S113"/>
  <sheetViews>
    <sheetView topLeftCell="A4" workbookViewId="0">
      <selection activeCell="C11" sqref="C11"/>
    </sheetView>
  </sheetViews>
  <sheetFormatPr defaultRowHeight="14.5" x14ac:dyDescent="0.35"/>
  <cols>
    <col min="6" max="6" width="16.453125" bestFit="1" customWidth="1"/>
    <col min="7" max="7" width="18.6328125" customWidth="1"/>
    <col min="14" max="14" width="10.453125" customWidth="1"/>
    <col min="15" max="16" width="14.453125" bestFit="1" customWidth="1"/>
    <col min="17" max="22" width="14.453125" customWidth="1"/>
    <col min="23" max="24" width="18.54296875" bestFit="1" customWidth="1"/>
    <col min="25" max="25" width="18.54296875" customWidth="1"/>
    <col min="26" max="26" width="11.453125" customWidth="1"/>
    <col min="27" max="27" width="11" bestFit="1" customWidth="1"/>
  </cols>
  <sheetData>
    <row r="1" spans="1:15" hidden="1" x14ac:dyDescent="0.35">
      <c r="A1" t="s">
        <v>80</v>
      </c>
      <c r="B1" t="s">
        <v>81</v>
      </c>
    </row>
    <row r="2" spans="1:15" hidden="1" x14ac:dyDescent="0.35">
      <c r="A2" t="s">
        <v>80</v>
      </c>
    </row>
    <row r="3" spans="1:15" hidden="1" x14ac:dyDescent="0.35">
      <c r="A3" t="s">
        <v>80</v>
      </c>
    </row>
    <row r="4" spans="1:15" x14ac:dyDescent="0.35">
      <c r="A4" s="5" t="s">
        <v>55</v>
      </c>
    </row>
    <row r="5" spans="1:15" x14ac:dyDescent="0.35">
      <c r="A5" t="s">
        <v>142</v>
      </c>
    </row>
    <row r="6" spans="1:15" x14ac:dyDescent="0.35">
      <c r="B6" s="5"/>
      <c r="J6" t="s">
        <v>11</v>
      </c>
      <c r="K6" t="s">
        <v>12</v>
      </c>
      <c r="L6" t="s">
        <v>13</v>
      </c>
      <c r="M6" t="s">
        <v>5</v>
      </c>
      <c r="N6" t="s">
        <v>4</v>
      </c>
      <c r="O6" t="s">
        <v>3</v>
      </c>
    </row>
    <row r="7" spans="1:15" x14ac:dyDescent="0.35">
      <c r="J7" t="s">
        <v>0</v>
      </c>
      <c r="K7" t="s">
        <v>0</v>
      </c>
      <c r="L7" t="s">
        <v>0</v>
      </c>
      <c r="M7">
        <v>0</v>
      </c>
      <c r="N7" s="1">
        <v>0</v>
      </c>
      <c r="O7" s="1">
        <v>1</v>
      </c>
    </row>
    <row r="8" spans="1:15" x14ac:dyDescent="0.35">
      <c r="J8" t="s">
        <v>0</v>
      </c>
      <c r="K8" t="s">
        <v>0</v>
      </c>
      <c r="L8" t="s">
        <v>0</v>
      </c>
      <c r="M8">
        <v>1</v>
      </c>
      <c r="N8" s="1">
        <v>1.5261890228122563</v>
      </c>
      <c r="O8" s="1">
        <v>546318.83737814485</v>
      </c>
    </row>
    <row r="9" spans="1:15" x14ac:dyDescent="0.35">
      <c r="B9" t="s">
        <v>27</v>
      </c>
      <c r="C9" s="10" t="s">
        <v>2</v>
      </c>
      <c r="J9" t="s">
        <v>0</v>
      </c>
      <c r="K9" t="s">
        <v>0</v>
      </c>
      <c r="L9" t="s">
        <v>0</v>
      </c>
      <c r="M9">
        <v>2</v>
      </c>
      <c r="N9" s="1">
        <v>3</v>
      </c>
      <c r="O9" s="1">
        <v>1037307.0567016189</v>
      </c>
    </row>
    <row r="10" spans="1:15" x14ac:dyDescent="0.35">
      <c r="J10" t="s">
        <v>0</v>
      </c>
      <c r="K10" t="s">
        <v>0</v>
      </c>
      <c r="L10" t="s">
        <v>0</v>
      </c>
      <c r="M10">
        <v>3</v>
      </c>
      <c r="N10" s="1">
        <v>6.5255204875320274</v>
      </c>
      <c r="O10" s="1">
        <v>1299951.4226145379</v>
      </c>
    </row>
    <row r="11" spans="1:15" x14ac:dyDescent="0.35">
      <c r="B11" t="s">
        <v>26</v>
      </c>
      <c r="C11" s="11" cm="1">
        <f t="array" ref="C11">SUMPRODUCT((MyTestTable3[Field1]=C9)*(MyTestTable3[val]))</f>
        <v>1848996450.89698</v>
      </c>
      <c r="J11" t="s">
        <v>0</v>
      </c>
      <c r="K11" t="s">
        <v>0</v>
      </c>
      <c r="L11" t="s">
        <v>1</v>
      </c>
      <c r="M11">
        <v>0</v>
      </c>
      <c r="N11" s="1">
        <v>0</v>
      </c>
      <c r="O11" s="1">
        <v>1</v>
      </c>
    </row>
    <row r="12" spans="1:15" x14ac:dyDescent="0.35">
      <c r="C12" cm="1">
        <f t="array" ref="C12">mySumPrd(C9)</f>
        <v>1848996450.8969803</v>
      </c>
      <c r="J12" t="s">
        <v>0</v>
      </c>
      <c r="K12" t="s">
        <v>0</v>
      </c>
      <c r="L12" t="s">
        <v>1</v>
      </c>
      <c r="M12">
        <v>1</v>
      </c>
      <c r="N12" s="1">
        <v>457.89715574024206</v>
      </c>
      <c r="O12" s="1">
        <v>6800948.9139359165</v>
      </c>
    </row>
    <row r="13" spans="1:15" x14ac:dyDescent="0.35">
      <c r="J13" t="s">
        <v>0</v>
      </c>
      <c r="K13" t="s">
        <v>0</v>
      </c>
      <c r="L13" t="s">
        <v>1</v>
      </c>
      <c r="M13">
        <v>2</v>
      </c>
      <c r="N13" s="1">
        <v>665.41974818871267</v>
      </c>
      <c r="O13" s="1">
        <v>30577029.059039161</v>
      </c>
    </row>
    <row r="14" spans="1:15" x14ac:dyDescent="0.35">
      <c r="B14" t="s">
        <v>139</v>
      </c>
      <c r="J14" t="s">
        <v>0</v>
      </c>
      <c r="K14" t="s">
        <v>0</v>
      </c>
      <c r="L14" t="s">
        <v>1</v>
      </c>
      <c r="M14">
        <v>3</v>
      </c>
      <c r="N14" s="1">
        <v>732.96431435521231</v>
      </c>
      <c r="O14" s="1">
        <v>64587928.142886072</v>
      </c>
    </row>
    <row r="15" spans="1:15" x14ac:dyDescent="0.35">
      <c r="B15" s="7" t="s">
        <v>75</v>
      </c>
      <c r="C15" s="7" t="s">
        <v>76</v>
      </c>
      <c r="D15" s="7" t="s">
        <v>77</v>
      </c>
      <c r="E15" s="7" t="s">
        <v>78</v>
      </c>
      <c r="J15" t="s">
        <v>0</v>
      </c>
      <c r="K15" t="s">
        <v>0</v>
      </c>
      <c r="L15" t="s">
        <v>2</v>
      </c>
      <c r="M15">
        <v>0</v>
      </c>
      <c r="N15" s="1">
        <v>0</v>
      </c>
      <c r="O15" s="1">
        <v>1</v>
      </c>
    </row>
    <row r="16" spans="1:15" x14ac:dyDescent="0.35">
      <c r="B16" t="s">
        <v>27</v>
      </c>
      <c r="C16" t="s">
        <v>26</v>
      </c>
      <c r="D16" t="s">
        <v>26</v>
      </c>
      <c r="E16" t="s">
        <v>26</v>
      </c>
      <c r="G16" t="s">
        <v>79</v>
      </c>
      <c r="H16">
        <f>SUM(E17:E21)</f>
        <v>0</v>
      </c>
      <c r="J16" t="s">
        <v>0</v>
      </c>
      <c r="K16" t="s">
        <v>0</v>
      </c>
      <c r="L16" t="s">
        <v>2</v>
      </c>
      <c r="M16">
        <v>1</v>
      </c>
      <c r="N16" s="1">
        <v>3592.9938823812686</v>
      </c>
      <c r="O16" s="1">
        <v>36462125.075147875</v>
      </c>
    </row>
    <row r="17" spans="2:15" x14ac:dyDescent="0.35">
      <c r="B17" s="9" t="s">
        <v>0</v>
      </c>
      <c r="C17">
        <v>1934581754.4323189</v>
      </c>
      <c r="D17">
        <f>mySumPrd(B17)</f>
        <v>1934581754.4323187</v>
      </c>
      <c r="E17">
        <f>IF(ABS(C17-D17)&lt; 0.000001,0,1)</f>
        <v>0</v>
      </c>
      <c r="F17" s="20"/>
      <c r="G17" s="21"/>
      <c r="J17" t="s">
        <v>0</v>
      </c>
      <c r="K17" t="s">
        <v>0</v>
      </c>
      <c r="L17" t="s">
        <v>2</v>
      </c>
      <c r="M17">
        <v>2</v>
      </c>
      <c r="N17" s="1">
        <v>4317.4518143079749</v>
      </c>
      <c r="O17" s="1">
        <v>48438287.635287218</v>
      </c>
    </row>
    <row r="18" spans="2:15" x14ac:dyDescent="0.35">
      <c r="B18" s="9" t="s">
        <v>1</v>
      </c>
      <c r="C18">
        <v>3918915.2917211195</v>
      </c>
      <c r="D18">
        <f>mySumPrd(B18)</f>
        <v>3918915.2917211186</v>
      </c>
      <c r="E18">
        <f>IF(ABS(C18-D18)&lt; 0.000001,0,1)</f>
        <v>0</v>
      </c>
      <c r="J18" t="s">
        <v>0</v>
      </c>
      <c r="K18" t="s">
        <v>0</v>
      </c>
      <c r="L18" t="s">
        <v>2</v>
      </c>
      <c r="M18">
        <v>3</v>
      </c>
      <c r="N18" s="1">
        <v>5145.536758387444</v>
      </c>
      <c r="O18" s="1">
        <v>53042320.468393937</v>
      </c>
    </row>
    <row r="19" spans="2:15" x14ac:dyDescent="0.35">
      <c r="B19" s="9" t="s">
        <v>2</v>
      </c>
      <c r="C19">
        <v>1848996450.89698</v>
      </c>
      <c r="D19">
        <f>mySumPrd(B19)</f>
        <v>1848996450.8969803</v>
      </c>
      <c r="E19">
        <f>IF(ABS(C19-D19)&lt; 0.000001,0,1)</f>
        <v>0</v>
      </c>
      <c r="J19" t="s">
        <v>0</v>
      </c>
      <c r="K19" t="s">
        <v>1</v>
      </c>
      <c r="L19" t="s">
        <v>0</v>
      </c>
      <c r="M19">
        <v>0</v>
      </c>
      <c r="N19" s="1">
        <v>0</v>
      </c>
      <c r="O19" s="1">
        <v>0.1</v>
      </c>
    </row>
    <row r="20" spans="2:15" x14ac:dyDescent="0.35">
      <c r="B20" s="9" t="s">
        <v>0</v>
      </c>
      <c r="C20">
        <v>1934581754.4323189</v>
      </c>
      <c r="D20">
        <f>mySumPrd(B20)</f>
        <v>1934581754.4323187</v>
      </c>
      <c r="E20">
        <f>IF(ABS(C20-D20)&lt; 0.000001,0,1)</f>
        <v>0</v>
      </c>
      <c r="J20" t="s">
        <v>0</v>
      </c>
      <c r="K20" t="s">
        <v>1</v>
      </c>
      <c r="L20" t="s">
        <v>0</v>
      </c>
      <c r="M20">
        <v>1</v>
      </c>
      <c r="N20" s="1">
        <v>1786.3712131444156</v>
      </c>
      <c r="O20" s="1">
        <v>0.22712616889310794</v>
      </c>
    </row>
    <row r="21" spans="2:15" x14ac:dyDescent="0.35">
      <c r="B21" s="9" t="s">
        <v>0</v>
      </c>
      <c r="C21">
        <v>1934581754.4323189</v>
      </c>
      <c r="D21">
        <f>mySumPrd(B21)</f>
        <v>1934581754.4323187</v>
      </c>
      <c r="E21">
        <f>IF(ABS(C21-D21)&lt; 0.000001,0,1)</f>
        <v>0</v>
      </c>
      <c r="J21" t="s">
        <v>0</v>
      </c>
      <c r="K21" t="s">
        <v>1</v>
      </c>
      <c r="L21" t="s">
        <v>0</v>
      </c>
      <c r="M21">
        <v>2</v>
      </c>
      <c r="N21" s="1">
        <v>2650.1850237489953</v>
      </c>
      <c r="O21" s="1">
        <v>0.37457202935904388</v>
      </c>
    </row>
    <row r="22" spans="2:15" x14ac:dyDescent="0.35">
      <c r="J22" t="s">
        <v>0</v>
      </c>
      <c r="K22" t="s">
        <v>1</v>
      </c>
      <c r="L22" t="s">
        <v>0</v>
      </c>
      <c r="M22">
        <v>3</v>
      </c>
      <c r="N22" s="1">
        <v>3118.6786834445575</v>
      </c>
      <c r="O22" s="1">
        <v>0.758624074119986</v>
      </c>
    </row>
    <row r="23" spans="2:15" x14ac:dyDescent="0.35">
      <c r="J23" t="s">
        <v>0</v>
      </c>
      <c r="K23" t="s">
        <v>1</v>
      </c>
      <c r="L23" t="s">
        <v>1</v>
      </c>
      <c r="M23">
        <v>0</v>
      </c>
      <c r="N23" s="1">
        <v>0</v>
      </c>
      <c r="O23" s="1">
        <v>1</v>
      </c>
    </row>
    <row r="24" spans="2:15" x14ac:dyDescent="0.35">
      <c r="J24" t="s">
        <v>0</v>
      </c>
      <c r="K24" t="s">
        <v>1</v>
      </c>
      <c r="L24" t="s">
        <v>1</v>
      </c>
      <c r="M24">
        <v>1</v>
      </c>
      <c r="N24" s="1">
        <v>1068.9539981067799</v>
      </c>
      <c r="O24" s="1">
        <v>60653.911812046506</v>
      </c>
    </row>
    <row r="25" spans="2:15" x14ac:dyDescent="0.35">
      <c r="J25" t="s">
        <v>0</v>
      </c>
      <c r="K25" t="s">
        <v>1</v>
      </c>
      <c r="L25" t="s">
        <v>1</v>
      </c>
      <c r="M25">
        <v>2</v>
      </c>
      <c r="N25" s="1">
        <v>1643.0837159550099</v>
      </c>
      <c r="O25" s="1">
        <v>137161.14910324372</v>
      </c>
    </row>
    <row r="26" spans="2:15" x14ac:dyDescent="0.35">
      <c r="J26" t="s">
        <v>0</v>
      </c>
      <c r="K26" t="s">
        <v>1</v>
      </c>
      <c r="L26" t="s">
        <v>1</v>
      </c>
      <c r="M26">
        <v>3</v>
      </c>
      <c r="N26" s="1">
        <v>1756.3905837575001</v>
      </c>
      <c r="O26" s="1">
        <v>191434.0762295124</v>
      </c>
    </row>
    <row r="27" spans="2:15" x14ac:dyDescent="0.35">
      <c r="J27" t="s">
        <v>0</v>
      </c>
      <c r="K27" t="s">
        <v>1</v>
      </c>
      <c r="L27" t="s">
        <v>2</v>
      </c>
      <c r="M27">
        <v>0</v>
      </c>
      <c r="N27" s="1">
        <v>0</v>
      </c>
      <c r="O27" s="1">
        <v>1</v>
      </c>
    </row>
    <row r="28" spans="2:15" x14ac:dyDescent="0.35">
      <c r="J28" t="s">
        <v>0</v>
      </c>
      <c r="K28" t="s">
        <v>1</v>
      </c>
      <c r="L28" t="s">
        <v>2</v>
      </c>
      <c r="M28">
        <v>1</v>
      </c>
      <c r="N28" s="1">
        <v>278.06175596617612</v>
      </c>
      <c r="O28" s="1">
        <v>994545.03053114563</v>
      </c>
    </row>
    <row r="29" spans="2:15" x14ac:dyDescent="0.35">
      <c r="J29" t="s">
        <v>0</v>
      </c>
      <c r="K29" t="s">
        <v>1</v>
      </c>
      <c r="L29" t="s">
        <v>2</v>
      </c>
      <c r="M29">
        <v>2</v>
      </c>
      <c r="N29" s="1">
        <v>587.95282824522997</v>
      </c>
      <c r="O29" s="1">
        <v>1127401.9652630771</v>
      </c>
    </row>
    <row r="30" spans="2:15" x14ac:dyDescent="0.35">
      <c r="J30" t="s">
        <v>0</v>
      </c>
      <c r="K30" t="s">
        <v>1</v>
      </c>
      <c r="L30" t="s">
        <v>2</v>
      </c>
      <c r="M30">
        <v>3</v>
      </c>
      <c r="N30" s="1">
        <v>1862.6122899355958</v>
      </c>
      <c r="O30" s="1">
        <v>1377671.0267613917</v>
      </c>
    </row>
    <row r="31" spans="2:15" x14ac:dyDescent="0.35">
      <c r="J31" t="s">
        <v>0</v>
      </c>
      <c r="K31" t="s">
        <v>2</v>
      </c>
      <c r="L31" t="s">
        <v>0</v>
      </c>
      <c r="M31">
        <v>0</v>
      </c>
      <c r="N31" s="1">
        <v>0</v>
      </c>
      <c r="O31" s="1">
        <v>1</v>
      </c>
    </row>
    <row r="32" spans="2:15" x14ac:dyDescent="0.35">
      <c r="J32" t="s">
        <v>0</v>
      </c>
      <c r="K32" t="s">
        <v>2</v>
      </c>
      <c r="L32" t="s">
        <v>0</v>
      </c>
      <c r="M32">
        <v>1</v>
      </c>
      <c r="N32" s="1">
        <v>112.88403832055414</v>
      </c>
      <c r="O32" s="1">
        <v>2753.2131779106417</v>
      </c>
    </row>
    <row r="33" spans="10:15" x14ac:dyDescent="0.35">
      <c r="J33" t="s">
        <v>0</v>
      </c>
      <c r="K33" t="s">
        <v>2</v>
      </c>
      <c r="L33" t="s">
        <v>0</v>
      </c>
      <c r="M33">
        <v>2</v>
      </c>
      <c r="N33" s="1">
        <v>349.37047016031266</v>
      </c>
      <c r="O33" s="1">
        <v>3101.589411034814</v>
      </c>
    </row>
    <row r="34" spans="10:15" x14ac:dyDescent="0.35">
      <c r="J34" t="s">
        <v>0</v>
      </c>
      <c r="K34" t="s">
        <v>2</v>
      </c>
      <c r="L34" t="s">
        <v>0</v>
      </c>
      <c r="M34">
        <v>3</v>
      </c>
      <c r="N34" s="1">
        <v>2378.2040176678197</v>
      </c>
      <c r="O34" s="1">
        <v>4539.3154429614697</v>
      </c>
    </row>
    <row r="35" spans="10:15" x14ac:dyDescent="0.35">
      <c r="J35" t="s">
        <v>0</v>
      </c>
      <c r="K35" t="s">
        <v>2</v>
      </c>
      <c r="L35" t="s">
        <v>1</v>
      </c>
      <c r="M35">
        <v>0</v>
      </c>
      <c r="N35" s="1">
        <v>0</v>
      </c>
      <c r="O35" s="1">
        <v>1</v>
      </c>
    </row>
    <row r="36" spans="10:15" x14ac:dyDescent="0.35">
      <c r="J36" t="s">
        <v>0</v>
      </c>
      <c r="K36" t="s">
        <v>2</v>
      </c>
      <c r="L36" t="s">
        <v>1</v>
      </c>
      <c r="M36">
        <v>1</v>
      </c>
      <c r="N36" s="1">
        <v>129.2490594466469</v>
      </c>
      <c r="O36" s="1">
        <v>492298374.75386935</v>
      </c>
    </row>
    <row r="37" spans="10:15" x14ac:dyDescent="0.35">
      <c r="J37" t="s">
        <v>0</v>
      </c>
      <c r="K37" t="s">
        <v>2</v>
      </c>
      <c r="L37" t="s">
        <v>1</v>
      </c>
      <c r="M37">
        <v>2</v>
      </c>
      <c r="N37" s="1">
        <v>197.10315070279705</v>
      </c>
      <c r="O37" s="1">
        <v>497782341.92626888</v>
      </c>
    </row>
    <row r="38" spans="10:15" x14ac:dyDescent="0.35">
      <c r="J38" t="s">
        <v>0</v>
      </c>
      <c r="K38" t="s">
        <v>2</v>
      </c>
      <c r="L38" t="s">
        <v>1</v>
      </c>
      <c r="M38">
        <v>3</v>
      </c>
      <c r="N38" s="1">
        <v>284.1446936821232</v>
      </c>
      <c r="O38" s="1">
        <v>697695792.001284</v>
      </c>
    </row>
    <row r="39" spans="10:15" x14ac:dyDescent="0.35">
      <c r="J39" t="s">
        <v>0</v>
      </c>
      <c r="K39" t="s">
        <v>2</v>
      </c>
      <c r="L39" t="s">
        <v>2</v>
      </c>
      <c r="M39">
        <v>0</v>
      </c>
      <c r="N39" s="1">
        <v>0</v>
      </c>
      <c r="O39" s="1">
        <v>1</v>
      </c>
    </row>
    <row r="40" spans="10:15" x14ac:dyDescent="0.35">
      <c r="J40" t="s">
        <v>0</v>
      </c>
      <c r="K40" t="s">
        <v>2</v>
      </c>
      <c r="L40" t="s">
        <v>2</v>
      </c>
      <c r="M40">
        <v>1</v>
      </c>
      <c r="N40" s="1">
        <v>1944.3980527740302</v>
      </c>
      <c r="O40" s="1">
        <v>31169.364696789249</v>
      </c>
    </row>
    <row r="41" spans="10:15" x14ac:dyDescent="0.35">
      <c r="J41" t="s">
        <v>0</v>
      </c>
      <c r="K41" t="s">
        <v>2</v>
      </c>
      <c r="L41" t="s">
        <v>2</v>
      </c>
      <c r="M41">
        <v>2</v>
      </c>
      <c r="N41" s="1">
        <v>5979.9346993100335</v>
      </c>
      <c r="O41" s="1">
        <v>39786.88693888743</v>
      </c>
    </row>
    <row r="42" spans="10:15" x14ac:dyDescent="0.35">
      <c r="J42" t="s">
        <v>0</v>
      </c>
      <c r="K42" t="s">
        <v>2</v>
      </c>
      <c r="L42" t="s">
        <v>2</v>
      </c>
      <c r="M42">
        <v>3</v>
      </c>
      <c r="N42" s="1">
        <v>9976.4162195488516</v>
      </c>
      <c r="O42" s="1">
        <v>42802.149821908024</v>
      </c>
    </row>
    <row r="43" spans="10:15" x14ac:dyDescent="0.35">
      <c r="J43" t="s">
        <v>1</v>
      </c>
      <c r="K43" t="s">
        <v>0</v>
      </c>
      <c r="L43" t="s">
        <v>0</v>
      </c>
      <c r="M43">
        <v>1</v>
      </c>
      <c r="N43" s="1">
        <v>50483.727912004491</v>
      </c>
      <c r="O43" s="1">
        <v>14.645643749229539</v>
      </c>
    </row>
    <row r="44" spans="10:15" x14ac:dyDescent="0.35">
      <c r="J44" t="s">
        <v>1</v>
      </c>
      <c r="K44" t="s">
        <v>0</v>
      </c>
      <c r="L44" t="s">
        <v>0</v>
      </c>
      <c r="M44">
        <v>2</v>
      </c>
      <c r="N44" s="1">
        <v>70854.229385690473</v>
      </c>
      <c r="O44" s="1">
        <v>15.576829448940069</v>
      </c>
    </row>
    <row r="45" spans="10:15" x14ac:dyDescent="0.35">
      <c r="J45" t="s">
        <v>1</v>
      </c>
      <c r="K45" t="s">
        <v>0</v>
      </c>
      <c r="L45" t="s">
        <v>0</v>
      </c>
      <c r="M45">
        <v>3</v>
      </c>
      <c r="N45" s="1">
        <v>73692.139723088141</v>
      </c>
      <c r="O45" s="1">
        <v>16.193903967407252</v>
      </c>
    </row>
    <row r="46" spans="10:15" x14ac:dyDescent="0.35">
      <c r="J46" t="s">
        <v>1</v>
      </c>
      <c r="K46" t="s">
        <v>0</v>
      </c>
      <c r="L46" t="s">
        <v>1</v>
      </c>
      <c r="M46">
        <v>0</v>
      </c>
      <c r="N46" s="1">
        <v>0</v>
      </c>
      <c r="O46" s="1">
        <v>1</v>
      </c>
    </row>
    <row r="47" spans="10:15" x14ac:dyDescent="0.35">
      <c r="J47" t="s">
        <v>1</v>
      </c>
      <c r="K47" t="s">
        <v>0</v>
      </c>
      <c r="L47" t="s">
        <v>1</v>
      </c>
      <c r="M47">
        <v>1</v>
      </c>
      <c r="N47" s="1">
        <v>2.4807518739444765</v>
      </c>
      <c r="O47" s="1">
        <v>3238.7463303242307</v>
      </c>
    </row>
    <row r="48" spans="10:15" x14ac:dyDescent="0.35">
      <c r="J48" t="s">
        <v>1</v>
      </c>
      <c r="K48" t="s">
        <v>0</v>
      </c>
      <c r="L48" t="s">
        <v>1</v>
      </c>
      <c r="M48">
        <v>2</v>
      </c>
      <c r="N48" s="1">
        <v>3.5399956870465266</v>
      </c>
      <c r="O48" s="1">
        <v>4959.4936497493691</v>
      </c>
    </row>
    <row r="49" spans="10:15" x14ac:dyDescent="0.35">
      <c r="J49" t="s">
        <v>1</v>
      </c>
      <c r="K49" t="s">
        <v>0</v>
      </c>
      <c r="L49" t="s">
        <v>1</v>
      </c>
      <c r="M49">
        <v>3</v>
      </c>
      <c r="N49" s="1">
        <v>5.3186917042826574</v>
      </c>
      <c r="O49" s="1">
        <v>12219.767854770258</v>
      </c>
    </row>
    <row r="50" spans="10:15" x14ac:dyDescent="0.35">
      <c r="J50" t="s">
        <v>1</v>
      </c>
      <c r="K50" t="s">
        <v>0</v>
      </c>
      <c r="L50" t="s">
        <v>2</v>
      </c>
      <c r="M50">
        <v>0</v>
      </c>
      <c r="N50" s="1">
        <v>0</v>
      </c>
      <c r="O50" s="1">
        <v>1</v>
      </c>
    </row>
    <row r="51" spans="10:15" x14ac:dyDescent="0.35">
      <c r="J51" t="s">
        <v>1</v>
      </c>
      <c r="K51" t="s">
        <v>0</v>
      </c>
      <c r="L51" t="s">
        <v>2</v>
      </c>
      <c r="M51">
        <v>1</v>
      </c>
      <c r="N51" s="1">
        <v>5.2610046638076966</v>
      </c>
      <c r="O51" s="1">
        <v>203650.33207131701</v>
      </c>
    </row>
    <row r="52" spans="10:15" x14ac:dyDescent="0.35">
      <c r="J52" t="s">
        <v>1</v>
      </c>
      <c r="K52" t="s">
        <v>0</v>
      </c>
      <c r="L52" t="s">
        <v>2</v>
      </c>
      <c r="M52">
        <v>2</v>
      </c>
      <c r="N52" s="1">
        <v>8.5030935565335444</v>
      </c>
      <c r="O52" s="1">
        <v>256067.63076211899</v>
      </c>
    </row>
    <row r="53" spans="10:15" x14ac:dyDescent="0.35">
      <c r="J53" t="s">
        <v>1</v>
      </c>
      <c r="K53" t="s">
        <v>0</v>
      </c>
      <c r="L53" t="s">
        <v>2</v>
      </c>
      <c r="M53">
        <v>3</v>
      </c>
      <c r="N53" s="1">
        <v>14.203542751488309</v>
      </c>
      <c r="O53" s="1">
        <v>292241.80813188077</v>
      </c>
    </row>
    <row r="54" spans="10:15" x14ac:dyDescent="0.35">
      <c r="J54" t="s">
        <v>1</v>
      </c>
      <c r="K54" t="s">
        <v>1</v>
      </c>
      <c r="L54" t="s">
        <v>0</v>
      </c>
      <c r="M54">
        <v>0</v>
      </c>
      <c r="N54" s="1">
        <v>0</v>
      </c>
      <c r="O54" s="1">
        <v>1</v>
      </c>
    </row>
    <row r="55" spans="10:15" x14ac:dyDescent="0.35">
      <c r="J55" t="s">
        <v>1</v>
      </c>
      <c r="K55" t="s">
        <v>1</v>
      </c>
      <c r="L55" t="s">
        <v>0</v>
      </c>
      <c r="M55">
        <v>1</v>
      </c>
      <c r="N55" s="1">
        <v>371.39932612569993</v>
      </c>
      <c r="O55" s="1">
        <v>46.48373439255387</v>
      </c>
    </row>
    <row r="56" spans="10:15" x14ac:dyDescent="0.35">
      <c r="J56" t="s">
        <v>1</v>
      </c>
      <c r="K56" t="s">
        <v>1</v>
      </c>
      <c r="L56" t="s">
        <v>0</v>
      </c>
      <c r="M56">
        <v>2</v>
      </c>
      <c r="N56" s="1">
        <v>525.19371925760788</v>
      </c>
      <c r="O56" s="1">
        <v>56.893980910799328</v>
      </c>
    </row>
    <row r="57" spans="10:15" x14ac:dyDescent="0.35">
      <c r="J57" t="s">
        <v>1</v>
      </c>
      <c r="K57" t="s">
        <v>1</v>
      </c>
      <c r="L57" t="s">
        <v>0</v>
      </c>
      <c r="M57">
        <v>3</v>
      </c>
      <c r="N57" s="1">
        <v>621.9294586135677</v>
      </c>
      <c r="O57" s="1">
        <v>71.268761877017184</v>
      </c>
    </row>
    <row r="58" spans="10:15" x14ac:dyDescent="0.35">
      <c r="J58" t="s">
        <v>1</v>
      </c>
      <c r="K58" t="s">
        <v>1</v>
      </c>
      <c r="L58" t="s">
        <v>1</v>
      </c>
      <c r="M58">
        <v>0</v>
      </c>
      <c r="N58" s="1">
        <v>0</v>
      </c>
      <c r="O58" s="1">
        <v>1</v>
      </c>
    </row>
    <row r="59" spans="10:15" x14ac:dyDescent="0.35">
      <c r="J59" t="s">
        <v>1</v>
      </c>
      <c r="K59" t="s">
        <v>1</v>
      </c>
      <c r="L59" t="s">
        <v>1</v>
      </c>
      <c r="M59">
        <v>1</v>
      </c>
      <c r="N59" s="1">
        <v>519.88799083871697</v>
      </c>
      <c r="O59" s="1">
        <v>320124.77738085127</v>
      </c>
    </row>
    <row r="60" spans="10:15" x14ac:dyDescent="0.35">
      <c r="J60" t="s">
        <v>1</v>
      </c>
      <c r="K60" t="s">
        <v>1</v>
      </c>
      <c r="L60" t="s">
        <v>1</v>
      </c>
      <c r="M60">
        <v>2</v>
      </c>
      <c r="N60" s="1">
        <v>526.52405245594662</v>
      </c>
      <c r="O60" s="1">
        <v>355372.59344571125</v>
      </c>
    </row>
    <row r="61" spans="10:15" x14ac:dyDescent="0.35">
      <c r="J61" t="s">
        <v>1</v>
      </c>
      <c r="K61" t="s">
        <v>1</v>
      </c>
      <c r="L61" t="s">
        <v>1</v>
      </c>
      <c r="M61">
        <v>3</v>
      </c>
      <c r="N61" s="1">
        <v>618.11766001930232</v>
      </c>
      <c r="O61" s="1">
        <v>506386.85926206462</v>
      </c>
    </row>
    <row r="62" spans="10:15" x14ac:dyDescent="0.35">
      <c r="J62" t="s">
        <v>1</v>
      </c>
      <c r="K62" t="s">
        <v>1</v>
      </c>
      <c r="L62" t="s">
        <v>2</v>
      </c>
      <c r="M62">
        <v>0</v>
      </c>
      <c r="N62" s="1">
        <v>0</v>
      </c>
      <c r="O62" s="1">
        <v>1</v>
      </c>
    </row>
    <row r="63" spans="10:15" x14ac:dyDescent="0.35">
      <c r="J63" t="s">
        <v>1</v>
      </c>
      <c r="K63" t="s">
        <v>1</v>
      </c>
      <c r="L63" t="s">
        <v>2</v>
      </c>
      <c r="M63">
        <v>1</v>
      </c>
      <c r="N63" s="1">
        <v>1736.7797038684457</v>
      </c>
      <c r="O63" s="1">
        <v>12.87471229305198</v>
      </c>
    </row>
    <row r="64" spans="10:15" x14ac:dyDescent="0.35">
      <c r="J64" t="s">
        <v>1</v>
      </c>
      <c r="K64" t="s">
        <v>1</v>
      </c>
      <c r="L64" t="s">
        <v>2</v>
      </c>
      <c r="M64">
        <v>2</v>
      </c>
      <c r="N64" s="1">
        <v>2347.9951809806389</v>
      </c>
      <c r="O64" s="1">
        <v>18.315298363592774</v>
      </c>
    </row>
    <row r="65" spans="10:15" x14ac:dyDescent="0.35">
      <c r="J65" t="s">
        <v>1</v>
      </c>
      <c r="K65" t="s">
        <v>1</v>
      </c>
      <c r="L65" t="s">
        <v>2</v>
      </c>
      <c r="M65">
        <v>3</v>
      </c>
      <c r="N65" s="1">
        <v>2951.0177698249026</v>
      </c>
      <c r="O65" s="1">
        <v>30.565287266593028</v>
      </c>
    </row>
    <row r="66" spans="10:15" x14ac:dyDescent="0.35">
      <c r="J66" t="s">
        <v>1</v>
      </c>
      <c r="K66" t="s">
        <v>2</v>
      </c>
      <c r="L66" t="s">
        <v>0</v>
      </c>
      <c r="M66">
        <v>0</v>
      </c>
      <c r="N66" s="1">
        <v>0</v>
      </c>
      <c r="O66" s="1">
        <v>1</v>
      </c>
    </row>
    <row r="67" spans="10:15" x14ac:dyDescent="0.35">
      <c r="J67" t="s">
        <v>1</v>
      </c>
      <c r="K67" t="s">
        <v>2</v>
      </c>
      <c r="L67" t="s">
        <v>0</v>
      </c>
      <c r="M67">
        <v>1</v>
      </c>
      <c r="N67" s="1">
        <v>534.61053936190672</v>
      </c>
      <c r="O67" s="1">
        <v>818574.40221290139</v>
      </c>
    </row>
    <row r="68" spans="10:15" x14ac:dyDescent="0.35">
      <c r="J68" t="s">
        <v>1</v>
      </c>
      <c r="K68" t="s">
        <v>2</v>
      </c>
      <c r="L68" t="s">
        <v>0</v>
      </c>
      <c r="M68">
        <v>2</v>
      </c>
      <c r="N68" s="1">
        <v>535.83743552267015</v>
      </c>
      <c r="O68" s="1">
        <v>473429.77754060243</v>
      </c>
    </row>
    <row r="69" spans="10:15" x14ac:dyDescent="0.35">
      <c r="J69" t="s">
        <v>1</v>
      </c>
      <c r="K69" t="s">
        <v>2</v>
      </c>
      <c r="L69" t="s">
        <v>0</v>
      </c>
      <c r="M69">
        <v>3</v>
      </c>
      <c r="N69" s="1">
        <v>740.44056101033595</v>
      </c>
      <c r="O69" s="1">
        <v>671275.63408292818</v>
      </c>
    </row>
    <row r="70" spans="10:15" x14ac:dyDescent="0.35">
      <c r="J70" t="s">
        <v>1</v>
      </c>
      <c r="K70" t="s">
        <v>2</v>
      </c>
      <c r="L70" t="s">
        <v>1</v>
      </c>
      <c r="M70">
        <v>0</v>
      </c>
      <c r="N70" s="1">
        <v>0</v>
      </c>
      <c r="O70" s="1">
        <v>1</v>
      </c>
    </row>
    <row r="71" spans="10:15" x14ac:dyDescent="0.35">
      <c r="J71" t="s">
        <v>1</v>
      </c>
      <c r="K71" t="s">
        <v>2</v>
      </c>
      <c r="L71" t="s">
        <v>1</v>
      </c>
      <c r="M71">
        <v>1</v>
      </c>
      <c r="N71" s="1">
        <v>873.90333670947098</v>
      </c>
      <c r="O71" s="1">
        <v>5.5308464608446828</v>
      </c>
    </row>
    <row r="72" spans="10:15" x14ac:dyDescent="0.35">
      <c r="J72" t="s">
        <v>1</v>
      </c>
      <c r="K72" t="s">
        <v>2</v>
      </c>
      <c r="L72" t="s">
        <v>1</v>
      </c>
      <c r="M72">
        <v>2</v>
      </c>
      <c r="N72" s="1">
        <v>1640.7421997836814</v>
      </c>
      <c r="O72" s="1">
        <v>3.7891915013635131</v>
      </c>
    </row>
    <row r="73" spans="10:15" x14ac:dyDescent="0.35">
      <c r="J73" t="s">
        <v>1</v>
      </c>
      <c r="K73" t="s">
        <v>2</v>
      </c>
      <c r="L73" t="s">
        <v>1</v>
      </c>
      <c r="M73">
        <v>3</v>
      </c>
      <c r="N73" s="1">
        <v>2167.1256906430149</v>
      </c>
      <c r="O73" s="1">
        <v>5.2369261422376665</v>
      </c>
    </row>
    <row r="74" spans="10:15" x14ac:dyDescent="0.35">
      <c r="J74" t="s">
        <v>1</v>
      </c>
      <c r="K74" t="s">
        <v>2</v>
      </c>
      <c r="L74" t="s">
        <v>2</v>
      </c>
      <c r="M74">
        <v>0</v>
      </c>
      <c r="N74" s="1">
        <v>0</v>
      </c>
      <c r="O74" s="1">
        <v>1</v>
      </c>
    </row>
    <row r="75" spans="10:15" x14ac:dyDescent="0.35">
      <c r="J75" t="s">
        <v>1</v>
      </c>
      <c r="K75" t="s">
        <v>2</v>
      </c>
      <c r="L75" t="s">
        <v>2</v>
      </c>
      <c r="M75">
        <v>1</v>
      </c>
      <c r="N75" s="1">
        <v>4.5893843322318366</v>
      </c>
      <c r="O75" s="1">
        <v>271.32608217273702</v>
      </c>
    </row>
    <row r="76" spans="10:15" x14ac:dyDescent="0.35">
      <c r="J76" t="s">
        <v>1</v>
      </c>
      <c r="K76" t="s">
        <v>2</v>
      </c>
      <c r="L76" t="s">
        <v>2</v>
      </c>
      <c r="M76">
        <v>2</v>
      </c>
      <c r="N76" s="1">
        <v>6.917525477163986</v>
      </c>
      <c r="O76" s="1">
        <v>378.73130130993701</v>
      </c>
    </row>
    <row r="77" spans="10:15" x14ac:dyDescent="0.35">
      <c r="J77" t="s">
        <v>1</v>
      </c>
      <c r="K77" t="s">
        <v>2</v>
      </c>
      <c r="L77" t="s">
        <v>2</v>
      </c>
      <c r="M77">
        <v>3</v>
      </c>
      <c r="N77" s="1">
        <v>8.2619091128049185</v>
      </c>
      <c r="O77" s="1">
        <v>418.03649604351335</v>
      </c>
    </row>
    <row r="78" spans="10:15" x14ac:dyDescent="0.35">
      <c r="J78" t="s">
        <v>2</v>
      </c>
      <c r="K78" t="s">
        <v>0</v>
      </c>
      <c r="L78" t="s">
        <v>0</v>
      </c>
      <c r="M78">
        <v>0</v>
      </c>
      <c r="N78" s="1">
        <v>0</v>
      </c>
      <c r="O78" s="1">
        <v>1</v>
      </c>
    </row>
    <row r="79" spans="10:15" x14ac:dyDescent="0.35">
      <c r="J79" t="s">
        <v>2</v>
      </c>
      <c r="K79" t="s">
        <v>0</v>
      </c>
      <c r="L79" t="s">
        <v>0</v>
      </c>
      <c r="M79">
        <v>1</v>
      </c>
      <c r="N79" s="1">
        <v>169.76245902684471</v>
      </c>
      <c r="O79" s="1">
        <v>11026500.943488406</v>
      </c>
    </row>
    <row r="80" spans="10:15" x14ac:dyDescent="0.35">
      <c r="J80" t="s">
        <v>2</v>
      </c>
      <c r="K80" t="s">
        <v>0</v>
      </c>
      <c r="L80" t="s">
        <v>0</v>
      </c>
      <c r="M80">
        <v>2</v>
      </c>
      <c r="N80" s="1">
        <v>260.35087688671661</v>
      </c>
      <c r="O80" s="1">
        <v>26327365.012117598</v>
      </c>
    </row>
    <row r="81" spans="10:15" x14ac:dyDescent="0.35">
      <c r="J81" t="s">
        <v>2</v>
      </c>
      <c r="K81" t="s">
        <v>0</v>
      </c>
      <c r="L81" t="s">
        <v>0</v>
      </c>
      <c r="M81">
        <v>3</v>
      </c>
      <c r="N81" s="1">
        <v>329.02527865688</v>
      </c>
      <c r="O81" s="1">
        <v>76072677.45279552</v>
      </c>
    </row>
    <row r="82" spans="10:15" x14ac:dyDescent="0.35">
      <c r="J82" t="s">
        <v>2</v>
      </c>
      <c r="K82" t="s">
        <v>0</v>
      </c>
      <c r="L82" t="s">
        <v>1</v>
      </c>
      <c r="M82">
        <v>0</v>
      </c>
      <c r="N82" s="1">
        <v>0</v>
      </c>
      <c r="O82" s="1">
        <v>1</v>
      </c>
    </row>
    <row r="83" spans="10:15" x14ac:dyDescent="0.35">
      <c r="J83" t="s">
        <v>2</v>
      </c>
      <c r="K83" t="s">
        <v>0</v>
      </c>
      <c r="L83" t="s">
        <v>1</v>
      </c>
      <c r="M83">
        <v>1</v>
      </c>
      <c r="N83" s="1">
        <v>45281.487312221827</v>
      </c>
      <c r="O83" s="1">
        <v>22988818.230815407</v>
      </c>
    </row>
    <row r="84" spans="10:15" x14ac:dyDescent="0.35">
      <c r="J84" t="s">
        <v>2</v>
      </c>
      <c r="K84" t="s">
        <v>0</v>
      </c>
      <c r="L84" t="s">
        <v>1</v>
      </c>
      <c r="M84">
        <v>2</v>
      </c>
      <c r="N84" s="1">
        <v>64311.555948999267</v>
      </c>
      <c r="O84" s="1">
        <v>36179080.498874679</v>
      </c>
    </row>
    <row r="85" spans="10:15" x14ac:dyDescent="0.35">
      <c r="J85" t="s">
        <v>2</v>
      </c>
      <c r="K85" t="s">
        <v>0</v>
      </c>
      <c r="L85" t="s">
        <v>1</v>
      </c>
      <c r="M85">
        <v>3</v>
      </c>
      <c r="N85" s="1">
        <v>77218.254144733932</v>
      </c>
      <c r="O85" s="1">
        <v>41616148.875773117</v>
      </c>
    </row>
    <row r="86" spans="10:15" x14ac:dyDescent="0.35">
      <c r="J86" t="s">
        <v>2</v>
      </c>
      <c r="K86" t="s">
        <v>0</v>
      </c>
      <c r="L86" t="s">
        <v>2</v>
      </c>
      <c r="M86">
        <v>0</v>
      </c>
      <c r="N86" s="1">
        <v>0</v>
      </c>
      <c r="O86" s="1">
        <v>1</v>
      </c>
    </row>
    <row r="87" spans="10:15" x14ac:dyDescent="0.35">
      <c r="J87" t="s">
        <v>2</v>
      </c>
      <c r="K87" t="s">
        <v>0</v>
      </c>
      <c r="L87" t="s">
        <v>2</v>
      </c>
      <c r="M87">
        <v>1</v>
      </c>
      <c r="N87" s="1">
        <v>357.56914715059258</v>
      </c>
      <c r="O87" s="1">
        <v>3.3623867508680561</v>
      </c>
    </row>
    <row r="88" spans="10:15" x14ac:dyDescent="0.35">
      <c r="J88" t="s">
        <v>2</v>
      </c>
      <c r="K88" t="s">
        <v>0</v>
      </c>
      <c r="L88" t="s">
        <v>2</v>
      </c>
      <c r="M88">
        <v>2</v>
      </c>
      <c r="N88" s="1">
        <v>4290.0529519584898</v>
      </c>
      <c r="O88" s="1">
        <v>5.3319706053934741</v>
      </c>
    </row>
    <row r="89" spans="10:15" x14ac:dyDescent="0.35">
      <c r="J89" t="s">
        <v>2</v>
      </c>
      <c r="K89" t="s">
        <v>0</v>
      </c>
      <c r="L89" t="s">
        <v>2</v>
      </c>
      <c r="M89">
        <v>3</v>
      </c>
      <c r="N89" s="1">
        <v>9240.1940859427687</v>
      </c>
      <c r="O89" s="1">
        <v>6.1781690159130553</v>
      </c>
    </row>
    <row r="90" spans="10:15" x14ac:dyDescent="0.35">
      <c r="J90" t="s">
        <v>2</v>
      </c>
      <c r="K90" t="s">
        <v>1</v>
      </c>
      <c r="L90" t="s">
        <v>0</v>
      </c>
      <c r="M90">
        <v>0</v>
      </c>
      <c r="N90" s="1">
        <v>0</v>
      </c>
      <c r="O90" s="1">
        <v>1</v>
      </c>
    </row>
    <row r="91" spans="10:15" x14ac:dyDescent="0.35">
      <c r="J91" t="s">
        <v>2</v>
      </c>
      <c r="K91" t="s">
        <v>1</v>
      </c>
      <c r="L91" t="s">
        <v>0</v>
      </c>
      <c r="M91">
        <v>1</v>
      </c>
      <c r="N91" s="1">
        <v>4</v>
      </c>
      <c r="O91" s="1">
        <v>57787.59890564072</v>
      </c>
    </row>
    <row r="92" spans="10:15" x14ac:dyDescent="0.35">
      <c r="J92" t="s">
        <v>2</v>
      </c>
      <c r="K92" t="s">
        <v>1</v>
      </c>
      <c r="L92" t="s">
        <v>0</v>
      </c>
      <c r="M92">
        <v>2</v>
      </c>
      <c r="N92" s="1">
        <v>6.2730518734120064</v>
      </c>
      <c r="O92" s="1">
        <v>68318.461285329176</v>
      </c>
    </row>
    <row r="93" spans="10:15" x14ac:dyDescent="0.35">
      <c r="J93" t="s">
        <v>2</v>
      </c>
      <c r="K93" t="s">
        <v>1</v>
      </c>
      <c r="L93" t="s">
        <v>0</v>
      </c>
      <c r="M93">
        <v>3</v>
      </c>
      <c r="N93" s="1">
        <v>8.3739497243440049</v>
      </c>
      <c r="O93" s="1">
        <v>124006.96649103881</v>
      </c>
    </row>
    <row r="94" spans="10:15" x14ac:dyDescent="0.35">
      <c r="J94" t="s">
        <v>2</v>
      </c>
      <c r="K94" t="s">
        <v>1</v>
      </c>
      <c r="L94" t="s">
        <v>1</v>
      </c>
      <c r="M94">
        <v>0</v>
      </c>
      <c r="N94" s="1">
        <v>0</v>
      </c>
      <c r="O94" s="1">
        <v>1</v>
      </c>
    </row>
    <row r="95" spans="10:15" x14ac:dyDescent="0.35">
      <c r="J95" t="s">
        <v>2</v>
      </c>
      <c r="K95" t="s">
        <v>1</v>
      </c>
      <c r="L95" t="s">
        <v>1</v>
      </c>
      <c r="M95">
        <v>1</v>
      </c>
      <c r="N95" s="1">
        <v>4.0790346851490904</v>
      </c>
      <c r="O95" s="1">
        <v>487.45835834889658</v>
      </c>
    </row>
    <row r="96" spans="10:15" x14ac:dyDescent="0.35">
      <c r="J96" t="s">
        <v>2</v>
      </c>
      <c r="K96" t="s">
        <v>1</v>
      </c>
      <c r="L96" t="s">
        <v>1</v>
      </c>
      <c r="M96">
        <v>2</v>
      </c>
      <c r="N96" s="1">
        <v>7.1174884139282417</v>
      </c>
      <c r="O96" s="1">
        <v>324.55491919161261</v>
      </c>
    </row>
    <row r="97" spans="10:19" x14ac:dyDescent="0.35">
      <c r="J97" t="s">
        <v>2</v>
      </c>
      <c r="K97" t="s">
        <v>1</v>
      </c>
      <c r="L97" t="s">
        <v>1</v>
      </c>
      <c r="M97">
        <v>3</v>
      </c>
      <c r="N97" s="1">
        <v>8.1858124681884572</v>
      </c>
      <c r="O97" s="1">
        <v>462.94208062296951</v>
      </c>
    </row>
    <row r="98" spans="10:19" x14ac:dyDescent="0.35">
      <c r="J98" t="s">
        <v>2</v>
      </c>
      <c r="K98" t="s">
        <v>1</v>
      </c>
      <c r="L98" t="s">
        <v>2</v>
      </c>
      <c r="M98">
        <v>0</v>
      </c>
      <c r="N98" s="1">
        <v>0</v>
      </c>
      <c r="O98" s="1">
        <v>1</v>
      </c>
    </row>
    <row r="99" spans="10:19" x14ac:dyDescent="0.35">
      <c r="J99" t="s">
        <v>2</v>
      </c>
      <c r="K99" t="s">
        <v>1</v>
      </c>
      <c r="L99" t="s">
        <v>2</v>
      </c>
      <c r="M99">
        <v>1</v>
      </c>
      <c r="N99" s="1">
        <v>11.919228224531595</v>
      </c>
      <c r="O99" s="1">
        <v>51.552067368712819</v>
      </c>
      <c r="S99" s="6"/>
    </row>
    <row r="100" spans="10:19" x14ac:dyDescent="0.35">
      <c r="J100" t="s">
        <v>2</v>
      </c>
      <c r="K100" t="s">
        <v>1</v>
      </c>
      <c r="L100" t="s">
        <v>2</v>
      </c>
      <c r="M100">
        <v>2</v>
      </c>
      <c r="N100" s="1">
        <v>61.639136806336744</v>
      </c>
      <c r="O100" s="1">
        <v>32.79178065103477</v>
      </c>
    </row>
    <row r="101" spans="10:19" x14ac:dyDescent="0.35">
      <c r="J101" t="s">
        <v>2</v>
      </c>
      <c r="K101" t="s">
        <v>1</v>
      </c>
      <c r="L101" t="s">
        <v>2</v>
      </c>
      <c r="M101">
        <v>3</v>
      </c>
      <c r="N101" s="1">
        <v>106.06842050306169</v>
      </c>
      <c r="O101" s="1">
        <v>44.226401038674453</v>
      </c>
    </row>
    <row r="102" spans="10:19" x14ac:dyDescent="0.35">
      <c r="J102" t="s">
        <v>2</v>
      </c>
      <c r="K102" t="s">
        <v>2</v>
      </c>
      <c r="L102" t="s">
        <v>0</v>
      </c>
      <c r="M102">
        <v>0</v>
      </c>
      <c r="N102" s="1">
        <v>0</v>
      </c>
      <c r="O102" s="1">
        <v>1</v>
      </c>
    </row>
    <row r="103" spans="10:19" x14ac:dyDescent="0.35">
      <c r="J103" t="s">
        <v>2</v>
      </c>
      <c r="K103" t="s">
        <v>2</v>
      </c>
      <c r="L103" t="s">
        <v>0</v>
      </c>
      <c r="M103">
        <v>1</v>
      </c>
      <c r="N103" s="1">
        <v>1.4749847974150934</v>
      </c>
      <c r="O103" s="1">
        <v>52266617.048029259</v>
      </c>
    </row>
    <row r="104" spans="10:19" x14ac:dyDescent="0.35">
      <c r="J104" t="s">
        <v>2</v>
      </c>
      <c r="K104" t="s">
        <v>2</v>
      </c>
      <c r="L104" t="s">
        <v>0</v>
      </c>
      <c r="M104">
        <v>2</v>
      </c>
      <c r="N104" s="1">
        <v>2.7870405957017863</v>
      </c>
      <c r="O104" s="1">
        <v>67229039.851606011</v>
      </c>
    </row>
    <row r="105" spans="10:19" x14ac:dyDescent="0.35">
      <c r="J105" t="s">
        <v>2</v>
      </c>
      <c r="K105" t="s">
        <v>2</v>
      </c>
      <c r="L105" t="s">
        <v>0</v>
      </c>
      <c r="M105">
        <v>3</v>
      </c>
      <c r="N105" s="1">
        <v>4.760842733190545</v>
      </c>
      <c r="O105" s="1">
        <v>84505017.868354648</v>
      </c>
    </row>
    <row r="106" spans="10:19" x14ac:dyDescent="0.35">
      <c r="J106" t="s">
        <v>2</v>
      </c>
      <c r="K106" t="s">
        <v>2</v>
      </c>
      <c r="L106" t="s">
        <v>1</v>
      </c>
      <c r="M106">
        <v>0</v>
      </c>
      <c r="N106" s="1">
        <v>0</v>
      </c>
      <c r="O106" s="1">
        <v>1</v>
      </c>
    </row>
    <row r="107" spans="10:19" x14ac:dyDescent="0.35">
      <c r="J107" t="s">
        <v>2</v>
      </c>
      <c r="K107" t="s">
        <v>2</v>
      </c>
      <c r="L107" t="s">
        <v>1</v>
      </c>
      <c r="M107">
        <v>1</v>
      </c>
      <c r="N107" s="1">
        <v>4.049184828269901</v>
      </c>
      <c r="O107" s="1">
        <v>452073673.79274911</v>
      </c>
    </row>
    <row r="108" spans="10:19" x14ac:dyDescent="0.35">
      <c r="J108" t="s">
        <v>2</v>
      </c>
      <c r="K108" t="s">
        <v>2</v>
      </c>
      <c r="L108" t="s">
        <v>1</v>
      </c>
      <c r="M108">
        <v>2</v>
      </c>
      <c r="N108" s="1">
        <v>6.0945909160417031</v>
      </c>
      <c r="O108" s="1">
        <v>470325176.57976329</v>
      </c>
    </row>
    <row r="109" spans="10:19" x14ac:dyDescent="0.35">
      <c r="J109" t="s">
        <v>2</v>
      </c>
      <c r="K109" t="s">
        <v>2</v>
      </c>
      <c r="L109" t="s">
        <v>1</v>
      </c>
      <c r="M109">
        <v>3</v>
      </c>
      <c r="N109" s="1">
        <v>9</v>
      </c>
      <c r="O109" s="1">
        <v>508133821.4006716</v>
      </c>
    </row>
    <row r="110" spans="10:19" x14ac:dyDescent="0.35">
      <c r="J110" t="s">
        <v>2</v>
      </c>
      <c r="K110" t="s">
        <v>2</v>
      </c>
      <c r="L110" t="s">
        <v>2</v>
      </c>
      <c r="M110">
        <v>0</v>
      </c>
      <c r="N110" s="1">
        <v>0</v>
      </c>
      <c r="O110" s="1">
        <v>1</v>
      </c>
    </row>
    <row r="111" spans="10:19" x14ac:dyDescent="0.35">
      <c r="J111" t="s">
        <v>2</v>
      </c>
      <c r="K111" t="s">
        <v>2</v>
      </c>
      <c r="L111" t="s">
        <v>2</v>
      </c>
      <c r="M111">
        <v>1</v>
      </c>
      <c r="N111" s="1">
        <v>1757.0229844103737</v>
      </c>
      <c r="O111" s="1">
        <v>291.25214247518284</v>
      </c>
    </row>
    <row r="112" spans="10:19" x14ac:dyDescent="0.35">
      <c r="J112" t="s">
        <v>2</v>
      </c>
      <c r="K112" t="s">
        <v>2</v>
      </c>
      <c r="L112" t="s">
        <v>2</v>
      </c>
      <c r="M112">
        <v>2</v>
      </c>
      <c r="N112" s="1">
        <v>2466.7467772957793</v>
      </c>
      <c r="O112" s="1">
        <v>339.64087400512534</v>
      </c>
    </row>
    <row r="113" spans="10:15" x14ac:dyDescent="0.35">
      <c r="J113" t="s">
        <v>2</v>
      </c>
      <c r="K113" t="s">
        <v>2</v>
      </c>
      <c r="L113" t="s">
        <v>2</v>
      </c>
      <c r="M113">
        <v>3</v>
      </c>
      <c r="N113" s="1">
        <v>4688.6956993980075</v>
      </c>
      <c r="O113" s="1">
        <v>342.0241096241877</v>
      </c>
    </row>
  </sheetData>
  <pageMargins left="0.7" right="0.7" top="0.75" bottom="0.75" header="0.3" footer="0.3"/>
  <pageSetup orientation="portrait" r:id="rId1"/>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9BC6CA-7B40-4A22-8DDD-9E594D126705}">
  <sheetPr codeName="Sheet14"/>
  <dimension ref="A1:O119"/>
  <sheetViews>
    <sheetView topLeftCell="A4" workbookViewId="0">
      <selection activeCell="I25" sqref="I25"/>
    </sheetView>
  </sheetViews>
  <sheetFormatPr defaultRowHeight="14.5" x14ac:dyDescent="0.35"/>
  <cols>
    <col min="9" max="9" width="8.90625" customWidth="1"/>
    <col min="14" max="14" width="10.453125" customWidth="1"/>
    <col min="15" max="16" width="14.453125" bestFit="1" customWidth="1"/>
    <col min="17" max="21" width="14.453125" customWidth="1"/>
    <col min="22" max="22" width="11" bestFit="1" customWidth="1"/>
  </cols>
  <sheetData>
    <row r="1" spans="1:15" hidden="1" x14ac:dyDescent="0.35">
      <c r="A1" t="s">
        <v>80</v>
      </c>
      <c r="B1" t="s">
        <v>81</v>
      </c>
    </row>
    <row r="2" spans="1:15" hidden="1" x14ac:dyDescent="0.35">
      <c r="A2" t="s">
        <v>80</v>
      </c>
    </row>
    <row r="3" spans="1:15" hidden="1" x14ac:dyDescent="0.35">
      <c r="A3" t="s">
        <v>80</v>
      </c>
    </row>
    <row r="4" spans="1:15" x14ac:dyDescent="0.35">
      <c r="B4" s="5" t="s">
        <v>144</v>
      </c>
    </row>
    <row r="5" spans="1:15" x14ac:dyDescent="0.35">
      <c r="B5" t="s">
        <v>145</v>
      </c>
    </row>
    <row r="6" spans="1:15" x14ac:dyDescent="0.35">
      <c r="B6" t="s">
        <v>146</v>
      </c>
    </row>
    <row r="9" spans="1:15" x14ac:dyDescent="0.35">
      <c r="B9" t="s">
        <v>27</v>
      </c>
      <c r="C9" s="10" t="s">
        <v>2</v>
      </c>
    </row>
    <row r="10" spans="1:15" x14ac:dyDescent="0.35">
      <c r="B10" t="s">
        <v>143</v>
      </c>
      <c r="C10" s="11">
        <f>INDEX(MyTestTable9[val],MATCH(C9,MyTestTable9[Field1],0))</f>
        <v>1</v>
      </c>
    </row>
    <row r="12" spans="1:15" x14ac:dyDescent="0.35">
      <c r="J12" t="s">
        <v>11</v>
      </c>
      <c r="K12" t="s">
        <v>12</v>
      </c>
      <c r="L12" t="s">
        <v>13</v>
      </c>
      <c r="M12" t="s">
        <v>5</v>
      </c>
      <c r="N12" t="s">
        <v>4</v>
      </c>
      <c r="O12" t="s">
        <v>3</v>
      </c>
    </row>
    <row r="13" spans="1:15" x14ac:dyDescent="0.35">
      <c r="B13" s="7" t="s">
        <v>75</v>
      </c>
      <c r="C13" s="7" t="s">
        <v>76</v>
      </c>
      <c r="D13" s="7" t="s">
        <v>77</v>
      </c>
      <c r="E13" s="7" t="s">
        <v>78</v>
      </c>
      <c r="J13" t="s">
        <v>0</v>
      </c>
      <c r="K13" t="s">
        <v>0</v>
      </c>
      <c r="L13" t="s">
        <v>0</v>
      </c>
      <c r="M13">
        <v>0</v>
      </c>
      <c r="N13" s="1">
        <v>0</v>
      </c>
      <c r="O13" s="1">
        <v>1</v>
      </c>
    </row>
    <row r="14" spans="1:15" x14ac:dyDescent="0.35">
      <c r="B14" t="s">
        <v>27</v>
      </c>
      <c r="C14" t="s">
        <v>143</v>
      </c>
      <c r="D14" t="s">
        <v>143</v>
      </c>
      <c r="E14" t="s">
        <v>143</v>
      </c>
      <c r="G14" t="s">
        <v>79</v>
      </c>
      <c r="H14">
        <f>SUM(E15:E19)</f>
        <v>0</v>
      </c>
      <c r="J14" t="s">
        <v>0</v>
      </c>
      <c r="K14" t="s">
        <v>0</v>
      </c>
      <c r="L14" t="s">
        <v>0</v>
      </c>
      <c r="M14">
        <v>1</v>
      </c>
      <c r="N14" s="1">
        <v>1.5261890228122563</v>
      </c>
      <c r="O14" s="1">
        <v>546318.83737814485</v>
      </c>
    </row>
    <row r="15" spans="1:15" x14ac:dyDescent="0.35">
      <c r="B15" s="9" t="s">
        <v>0</v>
      </c>
      <c r="C15">
        <v>1</v>
      </c>
      <c r="D15">
        <f>indexMatch2(B15)</f>
        <v>1</v>
      </c>
      <c r="E15">
        <f>IF(ABS(C15-D15)&lt; 0.000001,0,1)</f>
        <v>0</v>
      </c>
      <c r="J15" t="s">
        <v>0</v>
      </c>
      <c r="K15" t="s">
        <v>0</v>
      </c>
      <c r="L15" t="s">
        <v>0</v>
      </c>
      <c r="M15">
        <v>2</v>
      </c>
      <c r="N15" s="1">
        <v>3</v>
      </c>
      <c r="O15" s="1">
        <v>1037307.0567016189</v>
      </c>
    </row>
    <row r="16" spans="1:15" x14ac:dyDescent="0.35">
      <c r="B16" s="9" t="s">
        <v>1</v>
      </c>
      <c r="C16">
        <v>14.645643749229539</v>
      </c>
      <c r="D16">
        <f>indexMatch2(B16)</f>
        <v>14.6456437492295</v>
      </c>
      <c r="E16">
        <f>IF(ABS(C16-D16)&lt; 0.000001,0,1)</f>
        <v>0</v>
      </c>
      <c r="J16" t="s">
        <v>0</v>
      </c>
      <c r="K16" t="s">
        <v>0</v>
      </c>
      <c r="L16" t="s">
        <v>0</v>
      </c>
      <c r="M16">
        <v>3</v>
      </c>
      <c r="N16" s="1">
        <v>6.5255204875320274</v>
      </c>
      <c r="O16" s="1">
        <v>1299951.4226145379</v>
      </c>
    </row>
    <row r="17" spans="2:15" x14ac:dyDescent="0.35">
      <c r="B17" s="9" t="s">
        <v>2</v>
      </c>
      <c r="C17">
        <v>1</v>
      </c>
      <c r="D17">
        <f>indexMatch2(B17)</f>
        <v>1</v>
      </c>
      <c r="E17">
        <f>IF(ABS(C17-D17)&lt; 0.000001,0,1)</f>
        <v>0</v>
      </c>
      <c r="J17" t="s">
        <v>0</v>
      </c>
      <c r="K17" t="s">
        <v>0</v>
      </c>
      <c r="L17" t="s">
        <v>1</v>
      </c>
      <c r="M17">
        <v>0</v>
      </c>
      <c r="N17" s="1">
        <v>0</v>
      </c>
      <c r="O17" s="1">
        <v>1</v>
      </c>
    </row>
    <row r="18" spans="2:15" x14ac:dyDescent="0.35">
      <c r="B18" s="9" t="s">
        <v>0</v>
      </c>
      <c r="C18">
        <v>1</v>
      </c>
      <c r="D18">
        <f>indexMatch2(B18)</f>
        <v>1</v>
      </c>
      <c r="E18">
        <f>IF(ABS(C18-D18)&lt; 0.000001,0,1)</f>
        <v>0</v>
      </c>
      <c r="J18" t="s">
        <v>0</v>
      </c>
      <c r="K18" t="s">
        <v>0</v>
      </c>
      <c r="L18" t="s">
        <v>1</v>
      </c>
      <c r="M18">
        <v>1</v>
      </c>
      <c r="N18" s="1">
        <v>457.89715574024206</v>
      </c>
      <c r="O18" s="1">
        <v>6800948.9139359165</v>
      </c>
    </row>
    <row r="19" spans="2:15" x14ac:dyDescent="0.35">
      <c r="B19" s="9" t="s">
        <v>0</v>
      </c>
      <c r="C19">
        <v>1</v>
      </c>
      <c r="D19">
        <f>indexMatch2(B19)</f>
        <v>1</v>
      </c>
      <c r="E19">
        <f>IF(ABS(C19-D19)&lt; 0.000001,0,1)</f>
        <v>0</v>
      </c>
      <c r="J19" t="s">
        <v>0</v>
      </c>
      <c r="K19" t="s">
        <v>0</v>
      </c>
      <c r="L19" t="s">
        <v>1</v>
      </c>
      <c r="M19">
        <v>2</v>
      </c>
      <c r="N19" s="1">
        <v>665.41974818871267</v>
      </c>
      <c r="O19" s="1">
        <v>30577029.059039161</v>
      </c>
    </row>
    <row r="20" spans="2:15" x14ac:dyDescent="0.35">
      <c r="J20" t="s">
        <v>0</v>
      </c>
      <c r="K20" t="s">
        <v>0</v>
      </c>
      <c r="L20" t="s">
        <v>1</v>
      </c>
      <c r="M20">
        <v>3</v>
      </c>
      <c r="N20" s="1">
        <v>732.96431435521231</v>
      </c>
      <c r="O20" s="1">
        <v>64587928.142886072</v>
      </c>
    </row>
    <row r="21" spans="2:15" x14ac:dyDescent="0.35">
      <c r="J21" t="s">
        <v>0</v>
      </c>
      <c r="K21" t="s">
        <v>0</v>
      </c>
      <c r="L21" t="s">
        <v>2</v>
      </c>
      <c r="M21">
        <v>0</v>
      </c>
      <c r="N21" s="1">
        <v>0</v>
      </c>
      <c r="O21" s="1">
        <v>1</v>
      </c>
    </row>
    <row r="22" spans="2:15" x14ac:dyDescent="0.35">
      <c r="J22" t="s">
        <v>0</v>
      </c>
      <c r="K22" t="s">
        <v>0</v>
      </c>
      <c r="L22" t="s">
        <v>2</v>
      </c>
      <c r="M22">
        <v>1</v>
      </c>
      <c r="N22" s="1">
        <v>3592.9938823812686</v>
      </c>
      <c r="O22" s="1">
        <v>36462125.075147875</v>
      </c>
    </row>
    <row r="23" spans="2:15" x14ac:dyDescent="0.35">
      <c r="J23" t="s">
        <v>0</v>
      </c>
      <c r="K23" t="s">
        <v>0</v>
      </c>
      <c r="L23" t="s">
        <v>2</v>
      </c>
      <c r="M23">
        <v>2</v>
      </c>
      <c r="N23" s="1">
        <v>4317.4518143079749</v>
      </c>
      <c r="O23" s="1">
        <v>48438287.635287218</v>
      </c>
    </row>
    <row r="24" spans="2:15" x14ac:dyDescent="0.35">
      <c r="J24" t="s">
        <v>0</v>
      </c>
      <c r="K24" t="s">
        <v>0</v>
      </c>
      <c r="L24" t="s">
        <v>2</v>
      </c>
      <c r="M24">
        <v>3</v>
      </c>
      <c r="N24" s="1">
        <v>5145.536758387444</v>
      </c>
      <c r="O24" s="1">
        <v>53042320.468393937</v>
      </c>
    </row>
    <row r="25" spans="2:15" x14ac:dyDescent="0.35">
      <c r="J25" t="s">
        <v>0</v>
      </c>
      <c r="K25" t="s">
        <v>1</v>
      </c>
      <c r="L25" t="s">
        <v>0</v>
      </c>
      <c r="M25">
        <v>0</v>
      </c>
      <c r="N25" s="1">
        <v>0</v>
      </c>
      <c r="O25" s="1">
        <v>0.1</v>
      </c>
    </row>
    <row r="26" spans="2:15" x14ac:dyDescent="0.35">
      <c r="J26" t="s">
        <v>0</v>
      </c>
      <c r="K26" t="s">
        <v>1</v>
      </c>
      <c r="L26" t="s">
        <v>0</v>
      </c>
      <c r="M26">
        <v>1</v>
      </c>
      <c r="N26" s="1">
        <v>1786.3712131444156</v>
      </c>
      <c r="O26" s="1">
        <v>0.22712616889310794</v>
      </c>
    </row>
    <row r="27" spans="2:15" x14ac:dyDescent="0.35">
      <c r="J27" t="s">
        <v>0</v>
      </c>
      <c r="K27" t="s">
        <v>1</v>
      </c>
      <c r="L27" t="s">
        <v>0</v>
      </c>
      <c r="M27">
        <v>2</v>
      </c>
      <c r="N27" s="1">
        <v>2650.1850237489953</v>
      </c>
      <c r="O27" s="1">
        <v>0.37457202935904388</v>
      </c>
    </row>
    <row r="28" spans="2:15" x14ac:dyDescent="0.35">
      <c r="J28" t="s">
        <v>0</v>
      </c>
      <c r="K28" t="s">
        <v>1</v>
      </c>
      <c r="L28" t="s">
        <v>0</v>
      </c>
      <c r="M28">
        <v>3</v>
      </c>
      <c r="N28" s="1">
        <v>3118.6786834445575</v>
      </c>
      <c r="O28" s="1">
        <v>0.758624074119986</v>
      </c>
    </row>
    <row r="29" spans="2:15" x14ac:dyDescent="0.35">
      <c r="J29" t="s">
        <v>0</v>
      </c>
      <c r="K29" t="s">
        <v>1</v>
      </c>
      <c r="L29" t="s">
        <v>1</v>
      </c>
      <c r="M29">
        <v>0</v>
      </c>
      <c r="N29" s="1">
        <v>0</v>
      </c>
      <c r="O29" s="1">
        <v>1</v>
      </c>
    </row>
    <row r="30" spans="2:15" x14ac:dyDescent="0.35">
      <c r="J30" t="s">
        <v>0</v>
      </c>
      <c r="K30" t="s">
        <v>1</v>
      </c>
      <c r="L30" t="s">
        <v>1</v>
      </c>
      <c r="M30">
        <v>1</v>
      </c>
      <c r="N30" s="1">
        <v>1068.9539981067799</v>
      </c>
      <c r="O30" s="1">
        <v>60653.911812046506</v>
      </c>
    </row>
    <row r="31" spans="2:15" x14ac:dyDescent="0.35">
      <c r="J31" t="s">
        <v>0</v>
      </c>
      <c r="K31" t="s">
        <v>1</v>
      </c>
      <c r="L31" t="s">
        <v>1</v>
      </c>
      <c r="M31">
        <v>2</v>
      </c>
      <c r="N31" s="1">
        <v>1643.0837159550099</v>
      </c>
      <c r="O31" s="1">
        <v>137161.14910324372</v>
      </c>
    </row>
    <row r="32" spans="2:15" x14ac:dyDescent="0.35">
      <c r="J32" t="s">
        <v>0</v>
      </c>
      <c r="K32" t="s">
        <v>1</v>
      </c>
      <c r="L32" t="s">
        <v>1</v>
      </c>
      <c r="M32">
        <v>3</v>
      </c>
      <c r="N32" s="1">
        <v>1756.3905837575001</v>
      </c>
      <c r="O32" s="1">
        <v>191434.0762295124</v>
      </c>
    </row>
    <row r="33" spans="10:15" x14ac:dyDescent="0.35">
      <c r="J33" t="s">
        <v>0</v>
      </c>
      <c r="K33" t="s">
        <v>1</v>
      </c>
      <c r="L33" t="s">
        <v>2</v>
      </c>
      <c r="M33">
        <v>0</v>
      </c>
      <c r="N33" s="1">
        <v>0</v>
      </c>
      <c r="O33" s="1">
        <v>1</v>
      </c>
    </row>
    <row r="34" spans="10:15" x14ac:dyDescent="0.35">
      <c r="J34" t="s">
        <v>0</v>
      </c>
      <c r="K34" t="s">
        <v>1</v>
      </c>
      <c r="L34" t="s">
        <v>2</v>
      </c>
      <c r="M34">
        <v>1</v>
      </c>
      <c r="N34" s="1">
        <v>278.06175596617612</v>
      </c>
      <c r="O34" s="1">
        <v>994545.03053114563</v>
      </c>
    </row>
    <row r="35" spans="10:15" x14ac:dyDescent="0.35">
      <c r="J35" t="s">
        <v>0</v>
      </c>
      <c r="K35" t="s">
        <v>1</v>
      </c>
      <c r="L35" t="s">
        <v>2</v>
      </c>
      <c r="M35">
        <v>2</v>
      </c>
      <c r="N35" s="1">
        <v>587.95282824522997</v>
      </c>
      <c r="O35" s="1">
        <v>1127401.9652630771</v>
      </c>
    </row>
    <row r="36" spans="10:15" x14ac:dyDescent="0.35">
      <c r="J36" t="s">
        <v>0</v>
      </c>
      <c r="K36" t="s">
        <v>1</v>
      </c>
      <c r="L36" t="s">
        <v>2</v>
      </c>
      <c r="M36">
        <v>3</v>
      </c>
      <c r="N36" s="1">
        <v>1862.6122899355958</v>
      </c>
      <c r="O36" s="1">
        <v>1377671.0267613917</v>
      </c>
    </row>
    <row r="37" spans="10:15" x14ac:dyDescent="0.35">
      <c r="J37" t="s">
        <v>0</v>
      </c>
      <c r="K37" t="s">
        <v>2</v>
      </c>
      <c r="L37" t="s">
        <v>0</v>
      </c>
      <c r="M37">
        <v>0</v>
      </c>
      <c r="N37" s="1">
        <v>0</v>
      </c>
      <c r="O37" s="1">
        <v>1</v>
      </c>
    </row>
    <row r="38" spans="10:15" x14ac:dyDescent="0.35">
      <c r="J38" t="s">
        <v>0</v>
      </c>
      <c r="K38" t="s">
        <v>2</v>
      </c>
      <c r="L38" t="s">
        <v>0</v>
      </c>
      <c r="M38">
        <v>1</v>
      </c>
      <c r="N38" s="1">
        <v>112.88403832055414</v>
      </c>
      <c r="O38" s="1">
        <v>2753.2131779106417</v>
      </c>
    </row>
    <row r="39" spans="10:15" x14ac:dyDescent="0.35">
      <c r="J39" t="s">
        <v>0</v>
      </c>
      <c r="K39" t="s">
        <v>2</v>
      </c>
      <c r="L39" t="s">
        <v>0</v>
      </c>
      <c r="M39">
        <v>2</v>
      </c>
      <c r="N39" s="1">
        <v>349.37047016031266</v>
      </c>
      <c r="O39" s="1">
        <v>3101.589411034814</v>
      </c>
    </row>
    <row r="40" spans="10:15" x14ac:dyDescent="0.35">
      <c r="J40" t="s">
        <v>0</v>
      </c>
      <c r="K40" t="s">
        <v>2</v>
      </c>
      <c r="L40" t="s">
        <v>0</v>
      </c>
      <c r="M40">
        <v>3</v>
      </c>
      <c r="N40" s="1">
        <v>2378.2040176678197</v>
      </c>
      <c r="O40" s="1">
        <v>4539.3154429614697</v>
      </c>
    </row>
    <row r="41" spans="10:15" x14ac:dyDescent="0.35">
      <c r="J41" t="s">
        <v>0</v>
      </c>
      <c r="K41" t="s">
        <v>2</v>
      </c>
      <c r="L41" t="s">
        <v>1</v>
      </c>
      <c r="M41">
        <v>0</v>
      </c>
      <c r="N41" s="1">
        <v>0</v>
      </c>
      <c r="O41" s="1">
        <v>1</v>
      </c>
    </row>
    <row r="42" spans="10:15" x14ac:dyDescent="0.35">
      <c r="J42" t="s">
        <v>0</v>
      </c>
      <c r="K42" t="s">
        <v>2</v>
      </c>
      <c r="L42" t="s">
        <v>1</v>
      </c>
      <c r="M42">
        <v>1</v>
      </c>
      <c r="N42" s="1">
        <v>129.2490594466469</v>
      </c>
      <c r="O42" s="1">
        <v>492298374.75386935</v>
      </c>
    </row>
    <row r="43" spans="10:15" x14ac:dyDescent="0.35">
      <c r="J43" t="s">
        <v>0</v>
      </c>
      <c r="K43" t="s">
        <v>2</v>
      </c>
      <c r="L43" t="s">
        <v>1</v>
      </c>
      <c r="M43">
        <v>2</v>
      </c>
      <c r="N43" s="1">
        <v>197.10315070279705</v>
      </c>
      <c r="O43" s="1">
        <v>497782341.92626888</v>
      </c>
    </row>
    <row r="44" spans="10:15" x14ac:dyDescent="0.35">
      <c r="J44" t="s">
        <v>0</v>
      </c>
      <c r="K44" t="s">
        <v>2</v>
      </c>
      <c r="L44" t="s">
        <v>1</v>
      </c>
      <c r="M44">
        <v>3</v>
      </c>
      <c r="N44" s="1">
        <v>284.1446936821232</v>
      </c>
      <c r="O44" s="1">
        <v>697695792.001284</v>
      </c>
    </row>
    <row r="45" spans="10:15" x14ac:dyDescent="0.35">
      <c r="J45" t="s">
        <v>0</v>
      </c>
      <c r="K45" t="s">
        <v>2</v>
      </c>
      <c r="L45" t="s">
        <v>2</v>
      </c>
      <c r="M45">
        <v>0</v>
      </c>
      <c r="N45" s="1">
        <v>0</v>
      </c>
      <c r="O45" s="1">
        <v>1</v>
      </c>
    </row>
    <row r="46" spans="10:15" x14ac:dyDescent="0.35">
      <c r="J46" t="s">
        <v>0</v>
      </c>
      <c r="K46" t="s">
        <v>2</v>
      </c>
      <c r="L46" t="s">
        <v>2</v>
      </c>
      <c r="M46">
        <v>1</v>
      </c>
      <c r="N46" s="1">
        <v>1944.3980527740302</v>
      </c>
      <c r="O46" s="1">
        <v>31169.364696789249</v>
      </c>
    </row>
    <row r="47" spans="10:15" x14ac:dyDescent="0.35">
      <c r="J47" t="s">
        <v>0</v>
      </c>
      <c r="K47" t="s">
        <v>2</v>
      </c>
      <c r="L47" t="s">
        <v>2</v>
      </c>
      <c r="M47">
        <v>2</v>
      </c>
      <c r="N47" s="1">
        <v>5979.9346993100335</v>
      </c>
      <c r="O47" s="1">
        <v>39786.88693888743</v>
      </c>
    </row>
    <row r="48" spans="10:15" x14ac:dyDescent="0.35">
      <c r="J48" t="s">
        <v>0</v>
      </c>
      <c r="K48" t="s">
        <v>2</v>
      </c>
      <c r="L48" t="s">
        <v>2</v>
      </c>
      <c r="M48">
        <v>3</v>
      </c>
      <c r="N48" s="1">
        <v>9976.4162195488516</v>
      </c>
      <c r="O48" s="1">
        <v>42802.149821908024</v>
      </c>
    </row>
    <row r="49" spans="10:15" x14ac:dyDescent="0.35">
      <c r="J49" t="s">
        <v>1</v>
      </c>
      <c r="K49" t="s">
        <v>0</v>
      </c>
      <c r="L49" t="s">
        <v>0</v>
      </c>
      <c r="M49">
        <v>1</v>
      </c>
      <c r="N49" s="1">
        <v>50483.727912004491</v>
      </c>
      <c r="O49" s="1">
        <v>14.645643749229539</v>
      </c>
    </row>
    <row r="50" spans="10:15" x14ac:dyDescent="0.35">
      <c r="J50" t="s">
        <v>1</v>
      </c>
      <c r="K50" t="s">
        <v>0</v>
      </c>
      <c r="L50" t="s">
        <v>0</v>
      </c>
      <c r="M50">
        <v>2</v>
      </c>
      <c r="N50" s="1">
        <v>70854.229385690473</v>
      </c>
      <c r="O50" s="1">
        <v>15.576829448940069</v>
      </c>
    </row>
    <row r="51" spans="10:15" x14ac:dyDescent="0.35">
      <c r="J51" t="s">
        <v>1</v>
      </c>
      <c r="K51" t="s">
        <v>0</v>
      </c>
      <c r="L51" t="s">
        <v>0</v>
      </c>
      <c r="M51">
        <v>3</v>
      </c>
      <c r="N51" s="1">
        <v>73692.139723088141</v>
      </c>
      <c r="O51" s="1">
        <v>16.193903967407252</v>
      </c>
    </row>
    <row r="52" spans="10:15" x14ac:dyDescent="0.35">
      <c r="J52" t="s">
        <v>1</v>
      </c>
      <c r="K52" t="s">
        <v>0</v>
      </c>
      <c r="L52" t="s">
        <v>1</v>
      </c>
      <c r="M52">
        <v>0</v>
      </c>
      <c r="N52" s="1">
        <v>0</v>
      </c>
      <c r="O52" s="1">
        <v>1</v>
      </c>
    </row>
    <row r="53" spans="10:15" x14ac:dyDescent="0.35">
      <c r="J53" t="s">
        <v>1</v>
      </c>
      <c r="K53" t="s">
        <v>0</v>
      </c>
      <c r="L53" t="s">
        <v>1</v>
      </c>
      <c r="M53">
        <v>1</v>
      </c>
      <c r="N53" s="1">
        <v>2.4807518739444765</v>
      </c>
      <c r="O53" s="1">
        <v>3238.7463303242307</v>
      </c>
    </row>
    <row r="54" spans="10:15" x14ac:dyDescent="0.35">
      <c r="J54" t="s">
        <v>1</v>
      </c>
      <c r="K54" t="s">
        <v>0</v>
      </c>
      <c r="L54" t="s">
        <v>1</v>
      </c>
      <c r="M54">
        <v>2</v>
      </c>
      <c r="N54" s="1">
        <v>3.5399956870465266</v>
      </c>
      <c r="O54" s="1">
        <v>4959.4936497493691</v>
      </c>
    </row>
    <row r="55" spans="10:15" x14ac:dyDescent="0.35">
      <c r="J55" t="s">
        <v>1</v>
      </c>
      <c r="K55" t="s">
        <v>0</v>
      </c>
      <c r="L55" t="s">
        <v>1</v>
      </c>
      <c r="M55">
        <v>3</v>
      </c>
      <c r="N55" s="1">
        <v>5.3186917042826574</v>
      </c>
      <c r="O55" s="1">
        <v>12219.767854770258</v>
      </c>
    </row>
    <row r="56" spans="10:15" x14ac:dyDescent="0.35">
      <c r="J56" t="s">
        <v>1</v>
      </c>
      <c r="K56" t="s">
        <v>0</v>
      </c>
      <c r="L56" t="s">
        <v>2</v>
      </c>
      <c r="M56">
        <v>0</v>
      </c>
      <c r="N56" s="1">
        <v>0</v>
      </c>
      <c r="O56" s="1">
        <v>1</v>
      </c>
    </row>
    <row r="57" spans="10:15" x14ac:dyDescent="0.35">
      <c r="J57" t="s">
        <v>1</v>
      </c>
      <c r="K57" t="s">
        <v>0</v>
      </c>
      <c r="L57" t="s">
        <v>2</v>
      </c>
      <c r="M57">
        <v>1</v>
      </c>
      <c r="N57" s="1">
        <v>5.2610046638076966</v>
      </c>
      <c r="O57" s="1">
        <v>203650.33207131701</v>
      </c>
    </row>
    <row r="58" spans="10:15" x14ac:dyDescent="0.35">
      <c r="J58" t="s">
        <v>1</v>
      </c>
      <c r="K58" t="s">
        <v>0</v>
      </c>
      <c r="L58" t="s">
        <v>2</v>
      </c>
      <c r="M58">
        <v>2</v>
      </c>
      <c r="N58" s="1">
        <v>8.5030935565335444</v>
      </c>
      <c r="O58" s="1">
        <v>256067.63076211899</v>
      </c>
    </row>
    <row r="59" spans="10:15" x14ac:dyDescent="0.35">
      <c r="J59" t="s">
        <v>1</v>
      </c>
      <c r="K59" t="s">
        <v>0</v>
      </c>
      <c r="L59" t="s">
        <v>2</v>
      </c>
      <c r="M59">
        <v>3</v>
      </c>
      <c r="N59" s="1">
        <v>14.203542751488309</v>
      </c>
      <c r="O59" s="1">
        <v>292241.80813188077</v>
      </c>
    </row>
    <row r="60" spans="10:15" x14ac:dyDescent="0.35">
      <c r="J60" t="s">
        <v>1</v>
      </c>
      <c r="K60" t="s">
        <v>1</v>
      </c>
      <c r="L60" t="s">
        <v>0</v>
      </c>
      <c r="M60">
        <v>0</v>
      </c>
      <c r="N60" s="1">
        <v>0</v>
      </c>
      <c r="O60" s="1">
        <v>1</v>
      </c>
    </row>
    <row r="61" spans="10:15" x14ac:dyDescent="0.35">
      <c r="J61" t="s">
        <v>1</v>
      </c>
      <c r="K61" t="s">
        <v>1</v>
      </c>
      <c r="L61" t="s">
        <v>0</v>
      </c>
      <c r="M61">
        <v>1</v>
      </c>
      <c r="N61" s="1">
        <v>371.39932612569993</v>
      </c>
      <c r="O61" s="1">
        <v>46.48373439255387</v>
      </c>
    </row>
    <row r="62" spans="10:15" x14ac:dyDescent="0.35">
      <c r="J62" t="s">
        <v>1</v>
      </c>
      <c r="K62" t="s">
        <v>1</v>
      </c>
      <c r="L62" t="s">
        <v>0</v>
      </c>
      <c r="M62">
        <v>2</v>
      </c>
      <c r="N62" s="1">
        <v>525.19371925760788</v>
      </c>
      <c r="O62" s="1">
        <v>56.893980910799328</v>
      </c>
    </row>
    <row r="63" spans="10:15" x14ac:dyDescent="0.35">
      <c r="J63" t="s">
        <v>1</v>
      </c>
      <c r="K63" t="s">
        <v>1</v>
      </c>
      <c r="L63" t="s">
        <v>0</v>
      </c>
      <c r="M63">
        <v>3</v>
      </c>
      <c r="N63" s="1">
        <v>621.9294586135677</v>
      </c>
      <c r="O63" s="1">
        <v>71.268761877017184</v>
      </c>
    </row>
    <row r="64" spans="10:15" x14ac:dyDescent="0.35">
      <c r="J64" t="s">
        <v>1</v>
      </c>
      <c r="K64" t="s">
        <v>1</v>
      </c>
      <c r="L64" t="s">
        <v>1</v>
      </c>
      <c r="M64">
        <v>0</v>
      </c>
      <c r="N64" s="1">
        <v>0</v>
      </c>
      <c r="O64" s="1">
        <v>1</v>
      </c>
    </row>
    <row r="65" spans="10:15" x14ac:dyDescent="0.35">
      <c r="J65" t="s">
        <v>1</v>
      </c>
      <c r="K65" t="s">
        <v>1</v>
      </c>
      <c r="L65" t="s">
        <v>1</v>
      </c>
      <c r="M65">
        <v>1</v>
      </c>
      <c r="N65" s="1">
        <v>519.88799083871697</v>
      </c>
      <c r="O65" s="1">
        <v>320124.77738085127</v>
      </c>
    </row>
    <row r="66" spans="10:15" x14ac:dyDescent="0.35">
      <c r="J66" t="s">
        <v>1</v>
      </c>
      <c r="K66" t="s">
        <v>1</v>
      </c>
      <c r="L66" t="s">
        <v>1</v>
      </c>
      <c r="M66">
        <v>2</v>
      </c>
      <c r="N66" s="1">
        <v>526.52405245594662</v>
      </c>
      <c r="O66" s="1">
        <v>355372.59344571125</v>
      </c>
    </row>
    <row r="67" spans="10:15" x14ac:dyDescent="0.35">
      <c r="J67" t="s">
        <v>1</v>
      </c>
      <c r="K67" t="s">
        <v>1</v>
      </c>
      <c r="L67" t="s">
        <v>1</v>
      </c>
      <c r="M67">
        <v>3</v>
      </c>
      <c r="N67" s="1">
        <v>618.11766001930232</v>
      </c>
      <c r="O67" s="1">
        <v>506386.85926206462</v>
      </c>
    </row>
    <row r="68" spans="10:15" x14ac:dyDescent="0.35">
      <c r="J68" t="s">
        <v>1</v>
      </c>
      <c r="K68" t="s">
        <v>1</v>
      </c>
      <c r="L68" t="s">
        <v>2</v>
      </c>
      <c r="M68">
        <v>0</v>
      </c>
      <c r="N68" s="1">
        <v>0</v>
      </c>
      <c r="O68" s="1">
        <v>1</v>
      </c>
    </row>
    <row r="69" spans="10:15" x14ac:dyDescent="0.35">
      <c r="J69" t="s">
        <v>1</v>
      </c>
      <c r="K69" t="s">
        <v>1</v>
      </c>
      <c r="L69" t="s">
        <v>2</v>
      </c>
      <c r="M69">
        <v>1</v>
      </c>
      <c r="N69" s="1">
        <v>1736.7797038684457</v>
      </c>
      <c r="O69" s="1">
        <v>12.87471229305198</v>
      </c>
    </row>
    <row r="70" spans="10:15" x14ac:dyDescent="0.35">
      <c r="J70" t="s">
        <v>1</v>
      </c>
      <c r="K70" t="s">
        <v>1</v>
      </c>
      <c r="L70" t="s">
        <v>2</v>
      </c>
      <c r="M70">
        <v>2</v>
      </c>
      <c r="N70" s="1">
        <v>2347.9951809806389</v>
      </c>
      <c r="O70" s="1">
        <v>18.315298363592774</v>
      </c>
    </row>
    <row r="71" spans="10:15" x14ac:dyDescent="0.35">
      <c r="J71" t="s">
        <v>1</v>
      </c>
      <c r="K71" t="s">
        <v>1</v>
      </c>
      <c r="L71" t="s">
        <v>2</v>
      </c>
      <c r="M71">
        <v>3</v>
      </c>
      <c r="N71" s="1">
        <v>2951.0177698249026</v>
      </c>
      <c r="O71" s="1">
        <v>30.565287266593028</v>
      </c>
    </row>
    <row r="72" spans="10:15" x14ac:dyDescent="0.35">
      <c r="J72" t="s">
        <v>1</v>
      </c>
      <c r="K72" t="s">
        <v>2</v>
      </c>
      <c r="L72" t="s">
        <v>0</v>
      </c>
      <c r="M72">
        <v>0</v>
      </c>
      <c r="N72" s="1">
        <v>0</v>
      </c>
      <c r="O72" s="1">
        <v>1</v>
      </c>
    </row>
    <row r="73" spans="10:15" x14ac:dyDescent="0.35">
      <c r="J73" t="s">
        <v>1</v>
      </c>
      <c r="K73" t="s">
        <v>2</v>
      </c>
      <c r="L73" t="s">
        <v>0</v>
      </c>
      <c r="M73">
        <v>1</v>
      </c>
      <c r="N73" s="1">
        <v>534.61053936190672</v>
      </c>
      <c r="O73" s="1">
        <v>818574.40221290139</v>
      </c>
    </row>
    <row r="74" spans="10:15" x14ac:dyDescent="0.35">
      <c r="J74" t="s">
        <v>1</v>
      </c>
      <c r="K74" t="s">
        <v>2</v>
      </c>
      <c r="L74" t="s">
        <v>0</v>
      </c>
      <c r="M74">
        <v>2</v>
      </c>
      <c r="N74" s="1">
        <v>535.83743552267015</v>
      </c>
      <c r="O74" s="1">
        <v>473429.77754060243</v>
      </c>
    </row>
    <row r="75" spans="10:15" x14ac:dyDescent="0.35">
      <c r="J75" t="s">
        <v>1</v>
      </c>
      <c r="K75" t="s">
        <v>2</v>
      </c>
      <c r="L75" t="s">
        <v>0</v>
      </c>
      <c r="M75">
        <v>3</v>
      </c>
      <c r="N75" s="1">
        <v>740.44056101033595</v>
      </c>
      <c r="O75" s="1">
        <v>671275.63408292818</v>
      </c>
    </row>
    <row r="76" spans="10:15" x14ac:dyDescent="0.35">
      <c r="J76" t="s">
        <v>1</v>
      </c>
      <c r="K76" t="s">
        <v>2</v>
      </c>
      <c r="L76" t="s">
        <v>1</v>
      </c>
      <c r="M76">
        <v>0</v>
      </c>
      <c r="N76" s="1">
        <v>0</v>
      </c>
      <c r="O76" s="1">
        <v>1</v>
      </c>
    </row>
    <row r="77" spans="10:15" x14ac:dyDescent="0.35">
      <c r="J77" t="s">
        <v>1</v>
      </c>
      <c r="K77" t="s">
        <v>2</v>
      </c>
      <c r="L77" t="s">
        <v>1</v>
      </c>
      <c r="M77">
        <v>1</v>
      </c>
      <c r="N77" s="1">
        <v>873.90333670947098</v>
      </c>
      <c r="O77" s="1">
        <v>5.5308464608446828</v>
      </c>
    </row>
    <row r="78" spans="10:15" x14ac:dyDescent="0.35">
      <c r="J78" t="s">
        <v>1</v>
      </c>
      <c r="K78" t="s">
        <v>2</v>
      </c>
      <c r="L78" t="s">
        <v>1</v>
      </c>
      <c r="M78">
        <v>2</v>
      </c>
      <c r="N78" s="1">
        <v>1640.7421997836814</v>
      </c>
      <c r="O78" s="1">
        <v>3.7891915013635131</v>
      </c>
    </row>
    <row r="79" spans="10:15" x14ac:dyDescent="0.35">
      <c r="J79" t="s">
        <v>1</v>
      </c>
      <c r="K79" t="s">
        <v>2</v>
      </c>
      <c r="L79" t="s">
        <v>1</v>
      </c>
      <c r="M79">
        <v>3</v>
      </c>
      <c r="N79" s="1">
        <v>2167.1256906430149</v>
      </c>
      <c r="O79" s="1">
        <v>5.2369261422376665</v>
      </c>
    </row>
    <row r="80" spans="10:15" x14ac:dyDescent="0.35">
      <c r="J80" t="s">
        <v>1</v>
      </c>
      <c r="K80" t="s">
        <v>2</v>
      </c>
      <c r="L80" t="s">
        <v>2</v>
      </c>
      <c r="M80">
        <v>0</v>
      </c>
      <c r="N80" s="1">
        <v>0</v>
      </c>
      <c r="O80" s="1">
        <v>1</v>
      </c>
    </row>
    <row r="81" spans="10:15" x14ac:dyDescent="0.35">
      <c r="J81" t="s">
        <v>1</v>
      </c>
      <c r="K81" t="s">
        <v>2</v>
      </c>
      <c r="L81" t="s">
        <v>2</v>
      </c>
      <c r="M81">
        <v>1</v>
      </c>
      <c r="N81" s="1">
        <v>4.5893843322318366</v>
      </c>
      <c r="O81" s="1">
        <v>271.32608217273702</v>
      </c>
    </row>
    <row r="82" spans="10:15" x14ac:dyDescent="0.35">
      <c r="J82" t="s">
        <v>1</v>
      </c>
      <c r="K82" t="s">
        <v>2</v>
      </c>
      <c r="L82" t="s">
        <v>2</v>
      </c>
      <c r="M82">
        <v>2</v>
      </c>
      <c r="N82" s="1">
        <v>6.917525477163986</v>
      </c>
      <c r="O82" s="1">
        <v>378.73130130993701</v>
      </c>
    </row>
    <row r="83" spans="10:15" x14ac:dyDescent="0.35">
      <c r="J83" t="s">
        <v>1</v>
      </c>
      <c r="K83" t="s">
        <v>2</v>
      </c>
      <c r="L83" t="s">
        <v>2</v>
      </c>
      <c r="M83">
        <v>3</v>
      </c>
      <c r="N83" s="1">
        <v>8.2619091128049185</v>
      </c>
      <c r="O83" s="1">
        <v>418.03649604351335</v>
      </c>
    </row>
    <row r="84" spans="10:15" x14ac:dyDescent="0.35">
      <c r="J84" t="s">
        <v>2</v>
      </c>
      <c r="K84" t="s">
        <v>0</v>
      </c>
      <c r="L84" t="s">
        <v>0</v>
      </c>
      <c r="M84">
        <v>0</v>
      </c>
      <c r="N84" s="1">
        <v>0</v>
      </c>
      <c r="O84" s="1">
        <v>1</v>
      </c>
    </row>
    <row r="85" spans="10:15" x14ac:dyDescent="0.35">
      <c r="J85" t="s">
        <v>2</v>
      </c>
      <c r="K85" t="s">
        <v>0</v>
      </c>
      <c r="L85" t="s">
        <v>0</v>
      </c>
      <c r="M85">
        <v>1</v>
      </c>
      <c r="N85" s="1">
        <v>169.76245902684471</v>
      </c>
      <c r="O85" s="1">
        <v>11026500.943488406</v>
      </c>
    </row>
    <row r="86" spans="10:15" x14ac:dyDescent="0.35">
      <c r="J86" t="s">
        <v>2</v>
      </c>
      <c r="K86" t="s">
        <v>0</v>
      </c>
      <c r="L86" t="s">
        <v>0</v>
      </c>
      <c r="M86">
        <v>2</v>
      </c>
      <c r="N86" s="1">
        <v>260.35087688671661</v>
      </c>
      <c r="O86" s="1">
        <v>26327365.012117598</v>
      </c>
    </row>
    <row r="87" spans="10:15" x14ac:dyDescent="0.35">
      <c r="J87" t="s">
        <v>2</v>
      </c>
      <c r="K87" t="s">
        <v>0</v>
      </c>
      <c r="L87" t="s">
        <v>0</v>
      </c>
      <c r="M87">
        <v>3</v>
      </c>
      <c r="N87" s="1">
        <v>329.02527865688</v>
      </c>
      <c r="O87" s="1">
        <v>76072677.45279552</v>
      </c>
    </row>
    <row r="88" spans="10:15" x14ac:dyDescent="0.35">
      <c r="J88" t="s">
        <v>2</v>
      </c>
      <c r="K88" t="s">
        <v>0</v>
      </c>
      <c r="L88" t="s">
        <v>1</v>
      </c>
      <c r="M88">
        <v>0</v>
      </c>
      <c r="N88" s="1">
        <v>0</v>
      </c>
      <c r="O88" s="1">
        <v>1</v>
      </c>
    </row>
    <row r="89" spans="10:15" x14ac:dyDescent="0.35">
      <c r="J89" t="s">
        <v>2</v>
      </c>
      <c r="K89" t="s">
        <v>0</v>
      </c>
      <c r="L89" t="s">
        <v>1</v>
      </c>
      <c r="M89">
        <v>1</v>
      </c>
      <c r="N89" s="1">
        <v>45281.487312221827</v>
      </c>
      <c r="O89" s="1">
        <v>22988818.230815407</v>
      </c>
    </row>
    <row r="90" spans="10:15" x14ac:dyDescent="0.35">
      <c r="J90" t="s">
        <v>2</v>
      </c>
      <c r="K90" t="s">
        <v>0</v>
      </c>
      <c r="L90" t="s">
        <v>1</v>
      </c>
      <c r="M90">
        <v>2</v>
      </c>
      <c r="N90" s="1">
        <v>64311.555948999267</v>
      </c>
      <c r="O90" s="1">
        <v>36179080.498874679</v>
      </c>
    </row>
    <row r="91" spans="10:15" x14ac:dyDescent="0.35">
      <c r="J91" t="s">
        <v>2</v>
      </c>
      <c r="K91" t="s">
        <v>0</v>
      </c>
      <c r="L91" t="s">
        <v>1</v>
      </c>
      <c r="M91">
        <v>3</v>
      </c>
      <c r="N91" s="1">
        <v>77218.254144733932</v>
      </c>
      <c r="O91" s="1">
        <v>41616148.875773117</v>
      </c>
    </row>
    <row r="92" spans="10:15" x14ac:dyDescent="0.35">
      <c r="J92" t="s">
        <v>2</v>
      </c>
      <c r="K92" t="s">
        <v>0</v>
      </c>
      <c r="L92" t="s">
        <v>2</v>
      </c>
      <c r="M92">
        <v>0</v>
      </c>
      <c r="N92" s="1">
        <v>0</v>
      </c>
      <c r="O92" s="1">
        <v>1</v>
      </c>
    </row>
    <row r="93" spans="10:15" x14ac:dyDescent="0.35">
      <c r="J93" t="s">
        <v>2</v>
      </c>
      <c r="K93" t="s">
        <v>0</v>
      </c>
      <c r="L93" t="s">
        <v>2</v>
      </c>
      <c r="M93">
        <v>1</v>
      </c>
      <c r="N93" s="1">
        <v>357.56914715059258</v>
      </c>
      <c r="O93" s="1">
        <v>3.3623867508680561</v>
      </c>
    </row>
    <row r="94" spans="10:15" x14ac:dyDescent="0.35">
      <c r="J94" t="s">
        <v>2</v>
      </c>
      <c r="K94" t="s">
        <v>0</v>
      </c>
      <c r="L94" t="s">
        <v>2</v>
      </c>
      <c r="M94">
        <v>2</v>
      </c>
      <c r="N94" s="1">
        <v>4290.0529519584898</v>
      </c>
      <c r="O94" s="1">
        <v>5.3319706053934741</v>
      </c>
    </row>
    <row r="95" spans="10:15" x14ac:dyDescent="0.35">
      <c r="J95" t="s">
        <v>2</v>
      </c>
      <c r="K95" t="s">
        <v>0</v>
      </c>
      <c r="L95" t="s">
        <v>2</v>
      </c>
      <c r="M95">
        <v>3</v>
      </c>
      <c r="N95" s="1">
        <v>9240.1940859427687</v>
      </c>
      <c r="O95" s="1">
        <v>6.1781690159130553</v>
      </c>
    </row>
    <row r="96" spans="10:15" x14ac:dyDescent="0.35">
      <c r="J96" t="s">
        <v>2</v>
      </c>
      <c r="K96" t="s">
        <v>1</v>
      </c>
      <c r="L96" t="s">
        <v>0</v>
      </c>
      <c r="M96">
        <v>0</v>
      </c>
      <c r="N96" s="1">
        <v>0</v>
      </c>
      <c r="O96" s="1">
        <v>1</v>
      </c>
    </row>
    <row r="97" spans="10:15" x14ac:dyDescent="0.35">
      <c r="J97" t="s">
        <v>2</v>
      </c>
      <c r="K97" t="s">
        <v>1</v>
      </c>
      <c r="L97" t="s">
        <v>0</v>
      </c>
      <c r="M97">
        <v>1</v>
      </c>
      <c r="N97" s="1">
        <v>4</v>
      </c>
      <c r="O97" s="1">
        <v>57787.59890564072</v>
      </c>
    </row>
    <row r="98" spans="10:15" x14ac:dyDescent="0.35">
      <c r="J98" t="s">
        <v>2</v>
      </c>
      <c r="K98" t="s">
        <v>1</v>
      </c>
      <c r="L98" t="s">
        <v>0</v>
      </c>
      <c r="M98">
        <v>2</v>
      </c>
      <c r="N98" s="1">
        <v>6.2730518734120064</v>
      </c>
      <c r="O98" s="1">
        <v>68318.461285329176</v>
      </c>
    </row>
    <row r="99" spans="10:15" x14ac:dyDescent="0.35">
      <c r="J99" t="s">
        <v>2</v>
      </c>
      <c r="K99" t="s">
        <v>1</v>
      </c>
      <c r="L99" t="s">
        <v>0</v>
      </c>
      <c r="M99">
        <v>3</v>
      </c>
      <c r="N99" s="1">
        <v>8.3739497243440049</v>
      </c>
      <c r="O99" s="1">
        <v>124006.96649103881</v>
      </c>
    </row>
    <row r="100" spans="10:15" x14ac:dyDescent="0.35">
      <c r="J100" t="s">
        <v>2</v>
      </c>
      <c r="K100" t="s">
        <v>1</v>
      </c>
      <c r="L100" t="s">
        <v>1</v>
      </c>
      <c r="M100">
        <v>0</v>
      </c>
      <c r="N100" s="1">
        <v>0</v>
      </c>
      <c r="O100" s="1">
        <v>1</v>
      </c>
    </row>
    <row r="101" spans="10:15" x14ac:dyDescent="0.35">
      <c r="J101" t="s">
        <v>2</v>
      </c>
      <c r="K101" t="s">
        <v>1</v>
      </c>
      <c r="L101" t="s">
        <v>1</v>
      </c>
      <c r="M101">
        <v>1</v>
      </c>
      <c r="N101" s="1">
        <v>4.0790346851490904</v>
      </c>
      <c r="O101" s="1">
        <v>487.45835834889658</v>
      </c>
    </row>
    <row r="102" spans="10:15" x14ac:dyDescent="0.35">
      <c r="J102" t="s">
        <v>2</v>
      </c>
      <c r="K102" t="s">
        <v>1</v>
      </c>
      <c r="L102" t="s">
        <v>1</v>
      </c>
      <c r="M102">
        <v>2</v>
      </c>
      <c r="N102" s="1">
        <v>7.1174884139282417</v>
      </c>
      <c r="O102" s="1">
        <v>324.55491919161261</v>
      </c>
    </row>
    <row r="103" spans="10:15" x14ac:dyDescent="0.35">
      <c r="J103" t="s">
        <v>2</v>
      </c>
      <c r="K103" t="s">
        <v>1</v>
      </c>
      <c r="L103" t="s">
        <v>1</v>
      </c>
      <c r="M103">
        <v>3</v>
      </c>
      <c r="N103" s="1">
        <v>8.1858124681884572</v>
      </c>
      <c r="O103" s="1">
        <v>462.94208062296951</v>
      </c>
    </row>
    <row r="104" spans="10:15" x14ac:dyDescent="0.35">
      <c r="J104" t="s">
        <v>2</v>
      </c>
      <c r="K104" t="s">
        <v>1</v>
      </c>
      <c r="L104" t="s">
        <v>2</v>
      </c>
      <c r="M104">
        <v>0</v>
      </c>
      <c r="N104" s="1">
        <v>0</v>
      </c>
      <c r="O104" s="1">
        <v>1</v>
      </c>
    </row>
    <row r="105" spans="10:15" x14ac:dyDescent="0.35">
      <c r="J105" t="s">
        <v>2</v>
      </c>
      <c r="K105" t="s">
        <v>1</v>
      </c>
      <c r="L105" t="s">
        <v>2</v>
      </c>
      <c r="M105">
        <v>1</v>
      </c>
      <c r="N105" s="1">
        <v>11.919228224531595</v>
      </c>
      <c r="O105" s="1">
        <v>51.552067368712819</v>
      </c>
    </row>
    <row r="106" spans="10:15" x14ac:dyDescent="0.35">
      <c r="J106" t="s">
        <v>2</v>
      </c>
      <c r="K106" t="s">
        <v>1</v>
      </c>
      <c r="L106" t="s">
        <v>2</v>
      </c>
      <c r="M106">
        <v>2</v>
      </c>
      <c r="N106" s="1">
        <v>61.639136806336744</v>
      </c>
      <c r="O106" s="1">
        <v>32.79178065103477</v>
      </c>
    </row>
    <row r="107" spans="10:15" x14ac:dyDescent="0.35">
      <c r="J107" t="s">
        <v>2</v>
      </c>
      <c r="K107" t="s">
        <v>1</v>
      </c>
      <c r="L107" t="s">
        <v>2</v>
      </c>
      <c r="M107">
        <v>3</v>
      </c>
      <c r="N107" s="1">
        <v>106.06842050306169</v>
      </c>
      <c r="O107" s="1">
        <v>44.226401038674453</v>
      </c>
    </row>
    <row r="108" spans="10:15" x14ac:dyDescent="0.35">
      <c r="J108" t="s">
        <v>2</v>
      </c>
      <c r="K108" t="s">
        <v>2</v>
      </c>
      <c r="L108" t="s">
        <v>0</v>
      </c>
      <c r="M108">
        <v>0</v>
      </c>
      <c r="N108" s="1">
        <v>0</v>
      </c>
      <c r="O108" s="1">
        <v>1</v>
      </c>
    </row>
    <row r="109" spans="10:15" x14ac:dyDescent="0.35">
      <c r="J109" t="s">
        <v>2</v>
      </c>
      <c r="K109" t="s">
        <v>2</v>
      </c>
      <c r="L109" t="s">
        <v>0</v>
      </c>
      <c r="M109">
        <v>1</v>
      </c>
      <c r="N109" s="1">
        <v>1.4749847974150934</v>
      </c>
      <c r="O109" s="1">
        <v>52266617.048029259</v>
      </c>
    </row>
    <row r="110" spans="10:15" x14ac:dyDescent="0.35">
      <c r="J110" t="s">
        <v>2</v>
      </c>
      <c r="K110" t="s">
        <v>2</v>
      </c>
      <c r="L110" t="s">
        <v>0</v>
      </c>
      <c r="M110">
        <v>2</v>
      </c>
      <c r="N110" s="1">
        <v>2.7870405957017863</v>
      </c>
      <c r="O110" s="1">
        <v>67229039.851606011</v>
      </c>
    </row>
    <row r="111" spans="10:15" x14ac:dyDescent="0.35">
      <c r="J111" t="s">
        <v>2</v>
      </c>
      <c r="K111" t="s">
        <v>2</v>
      </c>
      <c r="L111" t="s">
        <v>0</v>
      </c>
      <c r="M111">
        <v>3</v>
      </c>
      <c r="N111" s="1">
        <v>4.760842733190545</v>
      </c>
      <c r="O111" s="1">
        <v>84505017.868354648</v>
      </c>
    </row>
    <row r="112" spans="10:15" x14ac:dyDescent="0.35">
      <c r="J112" t="s">
        <v>2</v>
      </c>
      <c r="K112" t="s">
        <v>2</v>
      </c>
      <c r="L112" t="s">
        <v>1</v>
      </c>
      <c r="M112">
        <v>0</v>
      </c>
      <c r="N112" s="1">
        <v>0</v>
      </c>
      <c r="O112" s="1">
        <v>1</v>
      </c>
    </row>
    <row r="113" spans="10:15" x14ac:dyDescent="0.35">
      <c r="J113" t="s">
        <v>2</v>
      </c>
      <c r="K113" t="s">
        <v>2</v>
      </c>
      <c r="L113" t="s">
        <v>1</v>
      </c>
      <c r="M113">
        <v>1</v>
      </c>
      <c r="N113" s="1">
        <v>4.049184828269901</v>
      </c>
      <c r="O113" s="1">
        <v>452073673.79274911</v>
      </c>
    </row>
    <row r="114" spans="10:15" x14ac:dyDescent="0.35">
      <c r="J114" t="s">
        <v>2</v>
      </c>
      <c r="K114" t="s">
        <v>2</v>
      </c>
      <c r="L114" t="s">
        <v>1</v>
      </c>
      <c r="M114">
        <v>2</v>
      </c>
      <c r="N114" s="1">
        <v>6.0945909160417031</v>
      </c>
      <c r="O114" s="1">
        <v>470325176.57976329</v>
      </c>
    </row>
    <row r="115" spans="10:15" x14ac:dyDescent="0.35">
      <c r="J115" t="s">
        <v>2</v>
      </c>
      <c r="K115" t="s">
        <v>2</v>
      </c>
      <c r="L115" t="s">
        <v>1</v>
      </c>
      <c r="M115">
        <v>3</v>
      </c>
      <c r="N115" s="1">
        <v>9</v>
      </c>
      <c r="O115" s="1">
        <v>508133821.4006716</v>
      </c>
    </row>
    <row r="116" spans="10:15" x14ac:dyDescent="0.35">
      <c r="J116" t="s">
        <v>2</v>
      </c>
      <c r="K116" t="s">
        <v>2</v>
      </c>
      <c r="L116" t="s">
        <v>2</v>
      </c>
      <c r="M116">
        <v>0</v>
      </c>
      <c r="N116" s="1">
        <v>0</v>
      </c>
      <c r="O116" s="1">
        <v>1</v>
      </c>
    </row>
    <row r="117" spans="10:15" x14ac:dyDescent="0.35">
      <c r="J117" t="s">
        <v>2</v>
      </c>
      <c r="K117" t="s">
        <v>2</v>
      </c>
      <c r="L117" t="s">
        <v>2</v>
      </c>
      <c r="M117">
        <v>1</v>
      </c>
      <c r="N117" s="1">
        <v>1757.0229844103737</v>
      </c>
      <c r="O117" s="1">
        <v>291.25214247518284</v>
      </c>
    </row>
    <row r="118" spans="10:15" x14ac:dyDescent="0.35">
      <c r="J118" t="s">
        <v>2</v>
      </c>
      <c r="K118" t="s">
        <v>2</v>
      </c>
      <c r="L118" t="s">
        <v>2</v>
      </c>
      <c r="M118">
        <v>2</v>
      </c>
      <c r="N118" s="1">
        <v>2466.7467772957793</v>
      </c>
      <c r="O118" s="1">
        <v>339.64087400512534</v>
      </c>
    </row>
    <row r="119" spans="10:15" x14ac:dyDescent="0.35">
      <c r="J119" t="s">
        <v>2</v>
      </c>
      <c r="K119" t="s">
        <v>2</v>
      </c>
      <c r="L119" t="s">
        <v>2</v>
      </c>
      <c r="M119">
        <v>3</v>
      </c>
      <c r="N119" s="1">
        <v>4688.6956993980075</v>
      </c>
      <c r="O119" s="1">
        <v>342.0241096241877</v>
      </c>
    </row>
  </sheetData>
  <pageMargins left="0.7" right="0.7" top="0.75" bottom="0.75" header="0.3" footer="0.3"/>
  <pageSetup orientation="portrait" r:id="rId1"/>
  <tableParts count="1">
    <tablePart r:id="rId2"/>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32D1C4-6358-475C-B2A3-56A534B12196}">
  <sheetPr codeName="Sheet15"/>
  <dimension ref="A1:U113"/>
  <sheetViews>
    <sheetView topLeftCell="A4" workbookViewId="0">
      <selection activeCell="H13" sqref="H13"/>
    </sheetView>
  </sheetViews>
  <sheetFormatPr defaultRowHeight="14.5" x14ac:dyDescent="0.35"/>
  <cols>
    <col min="2" max="2" width="13.36328125" bestFit="1" customWidth="1"/>
    <col min="3" max="3" width="14.6328125" customWidth="1"/>
    <col min="16" max="16" width="10.453125" customWidth="1"/>
    <col min="17" max="18" width="14.453125" bestFit="1" customWidth="1"/>
    <col min="19" max="23" width="14.453125" customWidth="1"/>
  </cols>
  <sheetData>
    <row r="1" spans="1:20" hidden="1" x14ac:dyDescent="0.35">
      <c r="A1" t="s">
        <v>80</v>
      </c>
      <c r="B1" t="s">
        <v>81</v>
      </c>
    </row>
    <row r="2" spans="1:20" hidden="1" x14ac:dyDescent="0.35">
      <c r="A2" t="s">
        <v>80</v>
      </c>
    </row>
    <row r="3" spans="1:20" hidden="1" x14ac:dyDescent="0.35">
      <c r="A3" t="s">
        <v>80</v>
      </c>
    </row>
    <row r="4" spans="1:20" x14ac:dyDescent="0.35">
      <c r="A4" s="4" t="s">
        <v>147</v>
      </c>
    </row>
    <row r="5" spans="1:20" x14ac:dyDescent="0.35">
      <c r="A5" t="s">
        <v>66</v>
      </c>
    </row>
    <row r="6" spans="1:20" x14ac:dyDescent="0.35">
      <c r="A6" t="s">
        <v>49</v>
      </c>
      <c r="L6" t="s">
        <v>11</v>
      </c>
      <c r="M6" t="s">
        <v>12</v>
      </c>
      <c r="N6" t="s">
        <v>13</v>
      </c>
      <c r="O6" t="s">
        <v>5</v>
      </c>
      <c r="P6" t="s">
        <v>4</v>
      </c>
      <c r="Q6" t="s">
        <v>3</v>
      </c>
    </row>
    <row r="7" spans="1:20" x14ac:dyDescent="0.35">
      <c r="L7" t="s">
        <v>0</v>
      </c>
      <c r="M7" t="s">
        <v>0</v>
      </c>
      <c r="N7" t="s">
        <v>0</v>
      </c>
      <c r="O7">
        <v>0</v>
      </c>
      <c r="P7" s="1">
        <v>0</v>
      </c>
      <c r="Q7" s="1">
        <v>1</v>
      </c>
    </row>
    <row r="8" spans="1:20" x14ac:dyDescent="0.35">
      <c r="L8" t="s">
        <v>0</v>
      </c>
      <c r="M8" t="s">
        <v>0</v>
      </c>
      <c r="N8" t="s">
        <v>0</v>
      </c>
      <c r="O8">
        <v>1</v>
      </c>
      <c r="P8" s="1">
        <v>1.5261890228122563</v>
      </c>
      <c r="Q8" s="1">
        <v>546318.83737814485</v>
      </c>
    </row>
    <row r="9" spans="1:20" x14ac:dyDescent="0.35">
      <c r="A9" t="s">
        <v>8</v>
      </c>
      <c r="B9" s="10" t="s">
        <v>2</v>
      </c>
      <c r="L9" t="s">
        <v>0</v>
      </c>
      <c r="M9" t="s">
        <v>0</v>
      </c>
      <c r="N9" t="s">
        <v>0</v>
      </c>
      <c r="O9">
        <v>2</v>
      </c>
      <c r="P9" s="1">
        <v>3</v>
      </c>
      <c r="Q9" s="1">
        <v>1037307.0567016189</v>
      </c>
    </row>
    <row r="10" spans="1:20" x14ac:dyDescent="0.35">
      <c r="A10" t="s">
        <v>7</v>
      </c>
      <c r="B10" s="10" t="s">
        <v>0</v>
      </c>
      <c r="L10" t="s">
        <v>0</v>
      </c>
      <c r="M10" t="s">
        <v>0</v>
      </c>
      <c r="N10" t="s">
        <v>0</v>
      </c>
      <c r="O10">
        <v>3</v>
      </c>
      <c r="P10" s="1">
        <v>6.5255204875320274</v>
      </c>
      <c r="Q10" s="1">
        <v>1299951.4226145379</v>
      </c>
    </row>
    <row r="11" spans="1:20" x14ac:dyDescent="0.35">
      <c r="A11" t="s">
        <v>6</v>
      </c>
      <c r="B11" s="10" t="s">
        <v>1</v>
      </c>
      <c r="L11" t="s">
        <v>0</v>
      </c>
      <c r="M11" t="s">
        <v>0</v>
      </c>
      <c r="N11" t="s">
        <v>1</v>
      </c>
      <c r="O11">
        <v>0</v>
      </c>
      <c r="P11" s="1">
        <v>0</v>
      </c>
      <c r="Q11" s="1">
        <v>1</v>
      </c>
    </row>
    <row r="12" spans="1:20" x14ac:dyDescent="0.35">
      <c r="L12" t="s">
        <v>0</v>
      </c>
      <c r="M12" t="s">
        <v>0</v>
      </c>
      <c r="N12" t="s">
        <v>1</v>
      </c>
      <c r="O12">
        <v>1</v>
      </c>
      <c r="P12" s="1">
        <v>457.89715574024206</v>
      </c>
      <c r="Q12" s="1">
        <v>6800948.9139359165</v>
      </c>
    </row>
    <row r="13" spans="1:20" x14ac:dyDescent="0.35">
      <c r="A13" t="s">
        <v>147</v>
      </c>
      <c r="B13" s="22" cm="1">
        <f t="array" ref="B13">SUMPRODUCT((MyTestTable11[Field1]=B9)*(MyTestTable11[Field2]=B10)*(MyTestTable11[Field3]=B11)*MyTestTable11[val])</f>
        <v>100784048.60546321</v>
      </c>
      <c r="L13" t="s">
        <v>0</v>
      </c>
      <c r="M13" t="s">
        <v>0</v>
      </c>
      <c r="N13" t="s">
        <v>1</v>
      </c>
      <c r="O13">
        <v>2</v>
      </c>
      <c r="P13" s="1">
        <v>665.41974818871267</v>
      </c>
      <c r="Q13" s="1">
        <v>30577029.059039161</v>
      </c>
    </row>
    <row r="14" spans="1:20" x14ac:dyDescent="0.35">
      <c r="L14" t="s">
        <v>0</v>
      </c>
      <c r="M14" t="s">
        <v>0</v>
      </c>
      <c r="N14" t="s">
        <v>1</v>
      </c>
      <c r="O14">
        <v>3</v>
      </c>
      <c r="P14" s="1">
        <v>732.96431435521231</v>
      </c>
      <c r="Q14" s="1">
        <v>64587928.142886072</v>
      </c>
    </row>
    <row r="15" spans="1:20" x14ac:dyDescent="0.35">
      <c r="B15" s="3"/>
      <c r="L15" t="s">
        <v>0</v>
      </c>
      <c r="M15" t="s">
        <v>0</v>
      </c>
      <c r="N15" t="s">
        <v>2</v>
      </c>
      <c r="O15">
        <v>0</v>
      </c>
      <c r="P15" s="1">
        <v>0</v>
      </c>
      <c r="Q15" s="1">
        <v>1</v>
      </c>
    </row>
    <row r="16" spans="1:20" x14ac:dyDescent="0.35">
      <c r="A16" t="s">
        <v>148</v>
      </c>
      <c r="L16" t="s">
        <v>0</v>
      </c>
      <c r="M16" t="s">
        <v>0</v>
      </c>
      <c r="N16" t="s">
        <v>2</v>
      </c>
      <c r="O16">
        <v>1</v>
      </c>
      <c r="P16" s="1">
        <v>3592.9938823812686</v>
      </c>
      <c r="Q16" s="1">
        <v>36462125.075147875</v>
      </c>
      <c r="T16" s="3"/>
    </row>
    <row r="17" spans="1:20" x14ac:dyDescent="0.35">
      <c r="A17" t="s">
        <v>8</v>
      </c>
      <c r="B17" t="s">
        <v>7</v>
      </c>
      <c r="C17" t="s">
        <v>6</v>
      </c>
      <c r="L17" t="s">
        <v>0</v>
      </c>
      <c r="M17" t="s">
        <v>0</v>
      </c>
      <c r="N17" t="s">
        <v>2</v>
      </c>
      <c r="O17">
        <v>2</v>
      </c>
      <c r="P17" s="1">
        <v>4317.4518143079749</v>
      </c>
      <c r="Q17" s="1">
        <v>48438287.635287218</v>
      </c>
      <c r="T17" s="3"/>
    </row>
    <row r="18" spans="1:20" x14ac:dyDescent="0.35">
      <c r="A18" t="s">
        <v>0</v>
      </c>
      <c r="B18" t="s">
        <v>0</v>
      </c>
      <c r="C18" t="s">
        <v>0</v>
      </c>
      <c r="L18" t="s">
        <v>0</v>
      </c>
      <c r="M18" t="s">
        <v>0</v>
      </c>
      <c r="N18" t="s">
        <v>2</v>
      </c>
      <c r="O18">
        <v>3</v>
      </c>
      <c r="P18" s="1">
        <v>5145.536758387444</v>
      </c>
      <c r="Q18" s="1">
        <v>53042320.468393937</v>
      </c>
    </row>
    <row r="19" spans="1:20" x14ac:dyDescent="0.35">
      <c r="A19" t="s">
        <v>1</v>
      </c>
      <c r="B19" t="s">
        <v>1</v>
      </c>
      <c r="C19" t="s">
        <v>1</v>
      </c>
      <c r="L19" t="s">
        <v>0</v>
      </c>
      <c r="M19" t="s">
        <v>1</v>
      </c>
      <c r="N19" t="s">
        <v>0</v>
      </c>
      <c r="O19">
        <v>0</v>
      </c>
      <c r="P19" s="1">
        <v>0</v>
      </c>
      <c r="Q19" s="1">
        <v>0.1</v>
      </c>
    </row>
    <row r="20" spans="1:20" x14ac:dyDescent="0.35">
      <c r="A20" t="s">
        <v>2</v>
      </c>
      <c r="B20" t="s">
        <v>2</v>
      </c>
      <c r="C20" t="s">
        <v>2</v>
      </c>
      <c r="L20" t="s">
        <v>0</v>
      </c>
      <c r="M20" t="s">
        <v>1</v>
      </c>
      <c r="N20" t="s">
        <v>0</v>
      </c>
      <c r="O20">
        <v>1</v>
      </c>
      <c r="P20" s="1">
        <v>1786.3712131444156</v>
      </c>
      <c r="Q20" s="1">
        <v>0.22712616889310794</v>
      </c>
    </row>
    <row r="21" spans="1:20" x14ac:dyDescent="0.35">
      <c r="L21" t="s">
        <v>0</v>
      </c>
      <c r="M21" t="s">
        <v>1</v>
      </c>
      <c r="N21" t="s">
        <v>0</v>
      </c>
      <c r="O21">
        <v>2</v>
      </c>
      <c r="P21" s="1">
        <v>2650.1850237489953</v>
      </c>
      <c r="Q21" s="1">
        <v>0.37457202935904388</v>
      </c>
    </row>
    <row r="22" spans="1:20" x14ac:dyDescent="0.35">
      <c r="L22" t="s">
        <v>0</v>
      </c>
      <c r="M22" t="s">
        <v>1</v>
      </c>
      <c r="N22" t="s">
        <v>0</v>
      </c>
      <c r="O22">
        <v>3</v>
      </c>
      <c r="P22" s="1">
        <v>3118.6786834445575</v>
      </c>
      <c r="Q22" s="1">
        <v>0.758624074119986</v>
      </c>
    </row>
    <row r="23" spans="1:20" x14ac:dyDescent="0.35">
      <c r="L23" t="s">
        <v>0</v>
      </c>
      <c r="M23" t="s">
        <v>1</v>
      </c>
      <c r="N23" t="s">
        <v>1</v>
      </c>
      <c r="O23">
        <v>0</v>
      </c>
      <c r="P23" s="1">
        <v>0</v>
      </c>
      <c r="Q23" s="1">
        <v>1</v>
      </c>
    </row>
    <row r="24" spans="1:20" x14ac:dyDescent="0.35">
      <c r="L24" t="s">
        <v>0</v>
      </c>
      <c r="M24" t="s">
        <v>1</v>
      </c>
      <c r="N24" t="s">
        <v>1</v>
      </c>
      <c r="O24">
        <v>1</v>
      </c>
      <c r="P24" s="1">
        <v>1068.9539981067799</v>
      </c>
      <c r="Q24" s="1">
        <v>60653.911812046506</v>
      </c>
    </row>
    <row r="25" spans="1:20" x14ac:dyDescent="0.35">
      <c r="L25" t="s">
        <v>0</v>
      </c>
      <c r="M25" t="s">
        <v>1</v>
      </c>
      <c r="N25" t="s">
        <v>1</v>
      </c>
      <c r="O25">
        <v>2</v>
      </c>
      <c r="P25" s="1">
        <v>1643.0837159550099</v>
      </c>
      <c r="Q25" s="1">
        <v>137161.14910324372</v>
      </c>
    </row>
    <row r="26" spans="1:20" x14ac:dyDescent="0.35">
      <c r="B26" s="27" t="s">
        <v>75</v>
      </c>
      <c r="C26" s="27"/>
      <c r="D26" s="27"/>
      <c r="E26" s="7" t="s">
        <v>76</v>
      </c>
      <c r="F26" s="7" t="s">
        <v>77</v>
      </c>
      <c r="G26" s="7" t="s">
        <v>78</v>
      </c>
      <c r="H26" s="7"/>
      <c r="I26" s="7"/>
      <c r="J26" s="7"/>
      <c r="K26" s="7"/>
      <c r="L26" t="s">
        <v>0</v>
      </c>
      <c r="M26" t="s">
        <v>1</v>
      </c>
      <c r="N26" t="s">
        <v>1</v>
      </c>
      <c r="O26">
        <v>3</v>
      </c>
      <c r="P26" s="1">
        <v>1756.3905837575001</v>
      </c>
      <c r="Q26" s="1">
        <v>191434.0762295124</v>
      </c>
    </row>
    <row r="27" spans="1:20" x14ac:dyDescent="0.35">
      <c r="B27" t="s">
        <v>8</v>
      </c>
      <c r="C27" t="s">
        <v>7</v>
      </c>
      <c r="D27" t="s">
        <v>6</v>
      </c>
      <c r="E27" t="s">
        <v>147</v>
      </c>
      <c r="F27" t="s">
        <v>147</v>
      </c>
      <c r="G27" t="s">
        <v>147</v>
      </c>
      <c r="I27" t="s">
        <v>79</v>
      </c>
      <c r="J27">
        <f>SUM(G28:G54)</f>
        <v>0</v>
      </c>
      <c r="L27" t="s">
        <v>0</v>
      </c>
      <c r="M27" t="s">
        <v>1</v>
      </c>
      <c r="N27" t="s">
        <v>2</v>
      </c>
      <c r="O27">
        <v>0</v>
      </c>
      <c r="P27" s="1">
        <v>0</v>
      </c>
      <c r="Q27" s="1">
        <v>1</v>
      </c>
    </row>
    <row r="28" spans="1:20" x14ac:dyDescent="0.35">
      <c r="B28" s="9" t="s">
        <v>0</v>
      </c>
      <c r="C28" s="9" t="s">
        <v>0</v>
      </c>
      <c r="D28" s="9" t="s">
        <v>0</v>
      </c>
      <c r="E28">
        <v>2883578.3166943016</v>
      </c>
      <c r="F28">
        <f>MultipleMatchReturnNumeric(B28,C28,D28)</f>
        <v>2883578.3166943048</v>
      </c>
      <c r="G28">
        <f>IF(ABS(E28-F28)&lt; 0.000001,0,1)</f>
        <v>0</v>
      </c>
      <c r="L28" t="s">
        <v>0</v>
      </c>
      <c r="M28" t="s">
        <v>1</v>
      </c>
      <c r="N28" t="s">
        <v>2</v>
      </c>
      <c r="O28">
        <v>1</v>
      </c>
      <c r="P28" s="1">
        <v>278.06175596617612</v>
      </c>
      <c r="Q28" s="1">
        <v>994545.03053114563</v>
      </c>
    </row>
    <row r="29" spans="1:20" x14ac:dyDescent="0.35">
      <c r="B29" s="9" t="s">
        <v>0</v>
      </c>
      <c r="C29" s="9" t="s">
        <v>0</v>
      </c>
      <c r="D29" s="9" t="s">
        <v>1</v>
      </c>
      <c r="E29">
        <v>101965907.11586115</v>
      </c>
      <c r="F29">
        <f>MultipleMatchReturnNumeric(B29,C29,D29)</f>
        <v>101965907.11586122</v>
      </c>
      <c r="G29">
        <f>IF(ABS(E29-F29)&lt; 0.000001,0,1)</f>
        <v>0</v>
      </c>
      <c r="L29" t="s">
        <v>0</v>
      </c>
      <c r="M29" t="s">
        <v>1</v>
      </c>
      <c r="N29" t="s">
        <v>2</v>
      </c>
      <c r="O29">
        <v>2</v>
      </c>
      <c r="P29" s="1">
        <v>587.95282824522997</v>
      </c>
      <c r="Q29" s="1">
        <v>1127401.9652630771</v>
      </c>
    </row>
    <row r="30" spans="1:20" x14ac:dyDescent="0.35">
      <c r="B30" s="9" t="s">
        <v>0</v>
      </c>
      <c r="C30" s="9" t="s">
        <v>0</v>
      </c>
      <c r="D30" s="9" t="s">
        <v>2</v>
      </c>
      <c r="E30">
        <v>137942734.17882901</v>
      </c>
      <c r="F30">
        <f>MultipleMatchReturnNumeric(B30,C30,D30)</f>
        <v>137942734.17882898</v>
      </c>
      <c r="G30">
        <f>IF(ABS(E30-F30)&lt; 0.000001,0,1)</f>
        <v>0</v>
      </c>
      <c r="L30" t="s">
        <v>0</v>
      </c>
      <c r="M30" t="s">
        <v>1</v>
      </c>
      <c r="N30" t="s">
        <v>2</v>
      </c>
      <c r="O30">
        <v>3</v>
      </c>
      <c r="P30" s="1">
        <v>1862.6122899355958</v>
      </c>
      <c r="Q30" s="1">
        <v>1377671.0267613917</v>
      </c>
    </row>
    <row r="31" spans="1:20" x14ac:dyDescent="0.35">
      <c r="B31" s="9" t="s">
        <v>0</v>
      </c>
      <c r="C31" s="9" t="s">
        <v>1</v>
      </c>
      <c r="D31" s="9" t="s">
        <v>0</v>
      </c>
      <c r="E31">
        <v>1.4603222723721379</v>
      </c>
      <c r="F31">
        <f>MultipleMatchReturnNumeric(B31,C31,D31)</f>
        <v>1.4603222723721381</v>
      </c>
      <c r="G31">
        <f>IF(ABS(E31-F31)&lt; 0.000001,0,1)</f>
        <v>0</v>
      </c>
      <c r="L31" t="s">
        <v>0</v>
      </c>
      <c r="M31" t="s">
        <v>2</v>
      </c>
      <c r="N31" t="s">
        <v>0</v>
      </c>
      <c r="O31">
        <v>0</v>
      </c>
      <c r="P31" s="1">
        <v>0</v>
      </c>
      <c r="Q31" s="1">
        <v>1</v>
      </c>
    </row>
    <row r="32" spans="1:20" x14ac:dyDescent="0.35">
      <c r="B32" s="9" t="s">
        <v>0</v>
      </c>
      <c r="C32" s="9" t="s">
        <v>1</v>
      </c>
      <c r="D32" s="9" t="s">
        <v>1</v>
      </c>
      <c r="E32">
        <v>389250.1371448026</v>
      </c>
      <c r="F32">
        <f>MultipleMatchReturnNumeric(B32,C32,D32)</f>
        <v>389250.13714480249</v>
      </c>
      <c r="G32">
        <f>IF(ABS(E32-F32)&lt; 0.000001,0,1)</f>
        <v>0</v>
      </c>
      <c r="L32" t="s">
        <v>0</v>
      </c>
      <c r="M32" t="s">
        <v>2</v>
      </c>
      <c r="N32" t="s">
        <v>0</v>
      </c>
      <c r="O32">
        <v>1</v>
      </c>
      <c r="P32" s="1">
        <v>112.88403832055414</v>
      </c>
      <c r="Q32" s="1">
        <v>2753.2131779106417</v>
      </c>
    </row>
    <row r="33" spans="2:17" x14ac:dyDescent="0.35">
      <c r="B33" s="9" t="s">
        <v>0</v>
      </c>
      <c r="C33" s="9" t="s">
        <v>1</v>
      </c>
      <c r="D33" s="9" t="s">
        <v>2</v>
      </c>
      <c r="E33">
        <v>3499619.0225556144</v>
      </c>
      <c r="F33">
        <f>MultipleMatchReturnNumeric(B33,C33,D33)</f>
        <v>3499619.0225556158</v>
      </c>
      <c r="G33">
        <f>IF(ABS(E33-F33)&lt; 0.000001,0,1)</f>
        <v>0</v>
      </c>
      <c r="L33" t="s">
        <v>0</v>
      </c>
      <c r="M33" t="s">
        <v>2</v>
      </c>
      <c r="N33" t="s">
        <v>0</v>
      </c>
      <c r="O33">
        <v>2</v>
      </c>
      <c r="P33" s="1">
        <v>349.37047016031266</v>
      </c>
      <c r="Q33" s="1">
        <v>3101.589411034814</v>
      </c>
    </row>
    <row r="34" spans="2:17" x14ac:dyDescent="0.35">
      <c r="B34" s="9" t="s">
        <v>0</v>
      </c>
      <c r="C34" s="9" t="s">
        <v>2</v>
      </c>
      <c r="D34" s="9" t="s">
        <v>0</v>
      </c>
      <c r="E34">
        <v>10395.118031906924</v>
      </c>
      <c r="F34">
        <f>MultipleMatchReturnNumeric(B34,C34,D34)</f>
        <v>10395.118031906919</v>
      </c>
      <c r="G34">
        <f>IF(ABS(E34-F34)&lt; 0.000001,0,1)</f>
        <v>0</v>
      </c>
      <c r="L34" t="s">
        <v>0</v>
      </c>
      <c r="M34" t="s">
        <v>2</v>
      </c>
      <c r="N34" t="s">
        <v>0</v>
      </c>
      <c r="O34">
        <v>3</v>
      </c>
      <c r="P34" s="1">
        <v>2378.2040176678197</v>
      </c>
      <c r="Q34" s="1">
        <v>4539.3154429614697</v>
      </c>
    </row>
    <row r="35" spans="2:17" x14ac:dyDescent="0.35">
      <c r="B35" s="9" t="s">
        <v>0</v>
      </c>
      <c r="C35" s="9" t="s">
        <v>2</v>
      </c>
      <c r="D35" s="9" t="s">
        <v>1</v>
      </c>
      <c r="E35">
        <v>1687776509.6814222</v>
      </c>
      <c r="F35">
        <f>MultipleMatchReturnNumeric(B35,C35,D35)</f>
        <v>1687776509.681422</v>
      </c>
      <c r="G35">
        <f>IF(ABS(E35-F35)&lt; 0.000001,0,1)</f>
        <v>0</v>
      </c>
      <c r="L35" t="s">
        <v>0</v>
      </c>
      <c r="M35" t="s">
        <v>2</v>
      </c>
      <c r="N35" t="s">
        <v>1</v>
      </c>
      <c r="O35">
        <v>0</v>
      </c>
      <c r="P35" s="1">
        <v>0</v>
      </c>
      <c r="Q35" s="1">
        <v>1</v>
      </c>
    </row>
    <row r="36" spans="2:17" x14ac:dyDescent="0.35">
      <c r="B36" s="9" t="s">
        <v>0</v>
      </c>
      <c r="C36" s="9" t="s">
        <v>2</v>
      </c>
      <c r="D36" s="9" t="s">
        <v>2</v>
      </c>
      <c r="E36">
        <v>113759.40145758471</v>
      </c>
      <c r="F36">
        <f>MultipleMatchReturnNumeric(B36,C36,D36)</f>
        <v>113759.40145758461</v>
      </c>
      <c r="G36">
        <f>IF(ABS(E36-F36)&lt; 0.000001,0,1)</f>
        <v>0</v>
      </c>
      <c r="L36" t="s">
        <v>0</v>
      </c>
      <c r="M36" t="s">
        <v>2</v>
      </c>
      <c r="N36" t="s">
        <v>1</v>
      </c>
      <c r="O36">
        <v>1</v>
      </c>
      <c r="P36" s="1">
        <v>129.2490594466469</v>
      </c>
      <c r="Q36" s="1">
        <v>492298374.75386935</v>
      </c>
    </row>
    <row r="37" spans="2:17" x14ac:dyDescent="0.35">
      <c r="B37" s="9" t="s">
        <v>1</v>
      </c>
      <c r="C37" s="9" t="s">
        <v>0</v>
      </c>
      <c r="D37" s="9" t="s">
        <v>0</v>
      </c>
      <c r="E37">
        <v>46.416377165576861</v>
      </c>
      <c r="F37">
        <f>MultipleMatchReturnNumeric(B37,C37,D37)</f>
        <v>46.416377165576904</v>
      </c>
      <c r="G37">
        <f>IF(ABS(E37-F37)&lt; 0.000001,0,1)</f>
        <v>0</v>
      </c>
      <c r="L37" t="s">
        <v>0</v>
      </c>
      <c r="M37" t="s">
        <v>2</v>
      </c>
      <c r="N37" t="s">
        <v>1</v>
      </c>
      <c r="O37">
        <v>2</v>
      </c>
      <c r="P37" s="1">
        <v>197.10315070279705</v>
      </c>
      <c r="Q37" s="1">
        <v>497782341.92626888</v>
      </c>
    </row>
    <row r="38" spans="2:17" x14ac:dyDescent="0.35">
      <c r="B38" s="9" t="s">
        <v>1</v>
      </c>
      <c r="C38" s="9" t="s">
        <v>0</v>
      </c>
      <c r="D38" s="9" t="s">
        <v>1</v>
      </c>
      <c r="E38">
        <v>20419.007834843858</v>
      </c>
      <c r="F38">
        <f>MultipleMatchReturnNumeric(B38,C38,D38)</f>
        <v>20419.007834843898</v>
      </c>
      <c r="G38">
        <f>IF(ABS(E38-F38)&lt; 0.000001,0,1)</f>
        <v>0</v>
      </c>
      <c r="L38" t="s">
        <v>0</v>
      </c>
      <c r="M38" t="s">
        <v>2</v>
      </c>
      <c r="N38" t="s">
        <v>1</v>
      </c>
      <c r="O38">
        <v>3</v>
      </c>
      <c r="P38" s="1">
        <v>284.1446936821232</v>
      </c>
      <c r="Q38" s="1">
        <v>697695792.001284</v>
      </c>
    </row>
    <row r="39" spans="2:17" x14ac:dyDescent="0.35">
      <c r="B39" s="9" t="s">
        <v>1</v>
      </c>
      <c r="C39" s="9" t="s">
        <v>0</v>
      </c>
      <c r="D39" s="9" t="s">
        <v>2</v>
      </c>
      <c r="E39">
        <v>751960.7709653168</v>
      </c>
      <c r="F39">
        <f>MultipleMatchReturnNumeric(B39,C39,D39)</f>
        <v>751960.77096531703</v>
      </c>
      <c r="G39">
        <f>IF(ABS(E39-F39)&lt; 0.000001,0,1)</f>
        <v>0</v>
      </c>
      <c r="L39" t="s">
        <v>0</v>
      </c>
      <c r="M39" t="s">
        <v>2</v>
      </c>
      <c r="N39" t="s">
        <v>2</v>
      </c>
      <c r="O39">
        <v>0</v>
      </c>
      <c r="P39" s="1">
        <v>0</v>
      </c>
      <c r="Q39" s="1">
        <v>1</v>
      </c>
    </row>
    <row r="40" spans="2:17" x14ac:dyDescent="0.35">
      <c r="B40" s="9" t="s">
        <v>1</v>
      </c>
      <c r="C40" s="9" t="s">
        <v>1</v>
      </c>
      <c r="D40" s="9" t="s">
        <v>0</v>
      </c>
      <c r="E40">
        <v>175.64647718037037</v>
      </c>
      <c r="F40">
        <f>MultipleMatchReturnNumeric(B40,C40,D40)</f>
        <v>175.6464771803704</v>
      </c>
      <c r="G40">
        <f>IF(ABS(E40-F40)&lt; 0.000001,0,1)</f>
        <v>0</v>
      </c>
      <c r="L40" t="s">
        <v>0</v>
      </c>
      <c r="M40" t="s">
        <v>2</v>
      </c>
      <c r="N40" t="s">
        <v>2</v>
      </c>
      <c r="O40">
        <v>1</v>
      </c>
      <c r="P40" s="1">
        <v>1944.3980527740302</v>
      </c>
      <c r="Q40" s="1">
        <v>31169.364696789249</v>
      </c>
    </row>
    <row r="41" spans="2:17" x14ac:dyDescent="0.35">
      <c r="B41" s="9" t="s">
        <v>1</v>
      </c>
      <c r="C41" s="9" t="s">
        <v>1</v>
      </c>
      <c r="D41" s="9" t="s">
        <v>1</v>
      </c>
      <c r="E41">
        <v>1181885.2300886272</v>
      </c>
      <c r="F41">
        <f>MultipleMatchReturnNumeric(B41,C41,D41)</f>
        <v>1181885.230088627</v>
      </c>
      <c r="G41">
        <f>IF(ABS(E41-F41)&lt; 0.000001,0,1)</f>
        <v>0</v>
      </c>
      <c r="L41" t="s">
        <v>0</v>
      </c>
      <c r="M41" t="s">
        <v>2</v>
      </c>
      <c r="N41" t="s">
        <v>2</v>
      </c>
      <c r="O41">
        <v>2</v>
      </c>
      <c r="P41" s="1">
        <v>5979.9346993100335</v>
      </c>
      <c r="Q41" s="1">
        <v>39786.88693888743</v>
      </c>
    </row>
    <row r="42" spans="2:17" x14ac:dyDescent="0.35">
      <c r="B42" s="9" t="s">
        <v>1</v>
      </c>
      <c r="C42" s="9" t="s">
        <v>1</v>
      </c>
      <c r="D42" s="9" t="s">
        <v>2</v>
      </c>
      <c r="E42">
        <v>62.755297923237777</v>
      </c>
      <c r="F42">
        <f>MultipleMatchReturnNumeric(B42,C42,D42)</f>
        <v>62.755297923237805</v>
      </c>
      <c r="G42">
        <f>IF(ABS(E42-F42)&lt; 0.000001,0,1)</f>
        <v>0</v>
      </c>
      <c r="L42" t="s">
        <v>0</v>
      </c>
      <c r="M42" t="s">
        <v>2</v>
      </c>
      <c r="N42" t="s">
        <v>2</v>
      </c>
      <c r="O42">
        <v>3</v>
      </c>
      <c r="P42" s="1">
        <v>9976.4162195488516</v>
      </c>
      <c r="Q42" s="1">
        <v>42802.149821908024</v>
      </c>
    </row>
    <row r="43" spans="2:17" x14ac:dyDescent="0.35">
      <c r="B43" s="9" t="s">
        <v>1</v>
      </c>
      <c r="C43" s="9" t="s">
        <v>2</v>
      </c>
      <c r="D43" s="9" t="s">
        <v>0</v>
      </c>
      <c r="E43">
        <v>1963280.8138364321</v>
      </c>
      <c r="F43">
        <f>MultipleMatchReturnNumeric(B43,C43,D43)</f>
        <v>1963280.8138364311</v>
      </c>
      <c r="G43">
        <f>IF(ABS(E43-F43)&lt; 0.000001,0,1)</f>
        <v>0</v>
      </c>
      <c r="L43" t="s">
        <v>1</v>
      </c>
      <c r="M43" t="s">
        <v>0</v>
      </c>
      <c r="N43" t="s">
        <v>0</v>
      </c>
      <c r="O43">
        <v>1</v>
      </c>
      <c r="P43" s="1">
        <v>50483.727912004491</v>
      </c>
      <c r="Q43" s="1">
        <v>14.645643749229539</v>
      </c>
    </row>
    <row r="44" spans="2:17" x14ac:dyDescent="0.35">
      <c r="B44" s="9" t="s">
        <v>1</v>
      </c>
      <c r="C44" s="9" t="s">
        <v>2</v>
      </c>
      <c r="D44" s="9" t="s">
        <v>1</v>
      </c>
      <c r="E44">
        <v>15.556964104445864</v>
      </c>
      <c r="F44">
        <f>MultipleMatchReturnNumeric(B44,C44,D44)</f>
        <v>15.556964104445861</v>
      </c>
      <c r="G44">
        <f>IF(ABS(E44-F44)&lt; 0.000001,0,1)</f>
        <v>0</v>
      </c>
      <c r="L44" t="s">
        <v>1</v>
      </c>
      <c r="M44" t="s">
        <v>0</v>
      </c>
      <c r="N44" t="s">
        <v>0</v>
      </c>
      <c r="O44">
        <v>2</v>
      </c>
      <c r="P44" s="1">
        <v>70854.229385690473</v>
      </c>
      <c r="Q44" s="1">
        <v>15.576829448940069</v>
      </c>
    </row>
    <row r="45" spans="2:17" x14ac:dyDescent="0.35">
      <c r="B45" s="9" t="s">
        <v>1</v>
      </c>
      <c r="C45" s="9" t="s">
        <v>2</v>
      </c>
      <c r="D45" s="9" t="s">
        <v>2</v>
      </c>
      <c r="E45">
        <v>1069.0938795261873</v>
      </c>
      <c r="F45">
        <f>MultipleMatchReturnNumeric(B45,C45,D45)</f>
        <v>1069.093879526187</v>
      </c>
      <c r="G45">
        <f>IF(ABS(E45-F45)&lt; 0.000001,0,1)</f>
        <v>0</v>
      </c>
      <c r="L45" t="s">
        <v>1</v>
      </c>
      <c r="M45" t="s">
        <v>0</v>
      </c>
      <c r="N45" t="s">
        <v>0</v>
      </c>
      <c r="O45">
        <v>3</v>
      </c>
      <c r="P45" s="1">
        <v>73692.139723088141</v>
      </c>
      <c r="Q45" s="1">
        <v>16.193903967407252</v>
      </c>
    </row>
    <row r="46" spans="2:17" x14ac:dyDescent="0.35">
      <c r="B46" s="9" t="s">
        <v>2</v>
      </c>
      <c r="C46" s="9" t="s">
        <v>0</v>
      </c>
      <c r="D46" s="9" t="s">
        <v>0</v>
      </c>
      <c r="E46">
        <v>113426544.40840152</v>
      </c>
      <c r="F46">
        <f>MultipleMatchReturnNumeric(B46,C46,D46)</f>
        <v>113426544.4084015</v>
      </c>
      <c r="G46">
        <f>IF(ABS(E46-F46)&lt; 0.000001,0,1)</f>
        <v>0</v>
      </c>
      <c r="L46" t="s">
        <v>1</v>
      </c>
      <c r="M46" t="s">
        <v>0</v>
      </c>
      <c r="N46" t="s">
        <v>1</v>
      </c>
      <c r="O46">
        <v>0</v>
      </c>
      <c r="P46" s="1">
        <v>0</v>
      </c>
      <c r="Q46" s="1">
        <v>1</v>
      </c>
    </row>
    <row r="47" spans="2:17" x14ac:dyDescent="0.35">
      <c r="B47" s="9" t="s">
        <v>2</v>
      </c>
      <c r="C47" s="9" t="s">
        <v>0</v>
      </c>
      <c r="D47" s="9" t="s">
        <v>1</v>
      </c>
      <c r="E47">
        <v>100784048.60546321</v>
      </c>
      <c r="F47">
        <f>MultipleMatchReturnNumeric(B47,C47,D47)</f>
        <v>100784048.60546321</v>
      </c>
      <c r="G47">
        <f>IF(ABS(E47-F47)&lt; 0.000001,0,1)</f>
        <v>0</v>
      </c>
      <c r="L47" t="s">
        <v>1</v>
      </c>
      <c r="M47" t="s">
        <v>0</v>
      </c>
      <c r="N47" t="s">
        <v>1</v>
      </c>
      <c r="O47">
        <v>1</v>
      </c>
      <c r="P47" s="1">
        <v>2.4807518739444765</v>
      </c>
      <c r="Q47" s="1">
        <v>3238.7463303242307</v>
      </c>
    </row>
    <row r="48" spans="2:17" x14ac:dyDescent="0.35">
      <c r="B48" s="9" t="s">
        <v>2</v>
      </c>
      <c r="C48" s="9" t="s">
        <v>0</v>
      </c>
      <c r="D48" s="9" t="s">
        <v>2</v>
      </c>
      <c r="E48">
        <v>15.872526372174587</v>
      </c>
      <c r="F48">
        <f>MultipleMatchReturnNumeric(B48,C48,D48)</f>
        <v>15.87252637217459</v>
      </c>
      <c r="G48">
        <f>IF(ABS(E48-F48)&lt; 0.000001,0,1)</f>
        <v>0</v>
      </c>
      <c r="L48" t="s">
        <v>1</v>
      </c>
      <c r="M48" t="s">
        <v>0</v>
      </c>
      <c r="N48" t="s">
        <v>1</v>
      </c>
      <c r="O48">
        <v>2</v>
      </c>
      <c r="P48" s="1">
        <v>3.5399956870465266</v>
      </c>
      <c r="Q48" s="1">
        <v>4959.4936497493691</v>
      </c>
    </row>
    <row r="49" spans="2:17" x14ac:dyDescent="0.35">
      <c r="B49" s="9" t="s">
        <v>2</v>
      </c>
      <c r="C49" s="9" t="s">
        <v>1</v>
      </c>
      <c r="D49" s="9" t="s">
        <v>0</v>
      </c>
      <c r="E49">
        <v>250114.0266820087</v>
      </c>
      <c r="F49">
        <f>MultipleMatchReturnNumeric(B49,C49,D49)</f>
        <v>250114.0266820089</v>
      </c>
      <c r="G49">
        <f>IF(ABS(E49-F49)&lt; 0.000001,0,1)</f>
        <v>0</v>
      </c>
      <c r="L49" t="s">
        <v>1</v>
      </c>
      <c r="M49" t="s">
        <v>0</v>
      </c>
      <c r="N49" t="s">
        <v>1</v>
      </c>
      <c r="O49">
        <v>3</v>
      </c>
      <c r="P49" s="1">
        <v>5.3186917042826574</v>
      </c>
      <c r="Q49" s="1">
        <v>12219.767854770258</v>
      </c>
    </row>
    <row r="50" spans="2:17" x14ac:dyDescent="0.35">
      <c r="B50" s="9" t="s">
        <v>2</v>
      </c>
      <c r="C50" s="9" t="s">
        <v>1</v>
      </c>
      <c r="D50" s="9" t="s">
        <v>1</v>
      </c>
      <c r="E50">
        <v>1275.9553581634786</v>
      </c>
      <c r="F50">
        <f>MultipleMatchReturnNumeric(B50,C50,D50)</f>
        <v>1275.95535816348</v>
      </c>
      <c r="G50">
        <f>IF(ABS(E50-F50)&lt; 0.000001,0,1)</f>
        <v>0</v>
      </c>
      <c r="L50" t="s">
        <v>1</v>
      </c>
      <c r="M50" t="s">
        <v>0</v>
      </c>
      <c r="N50" t="s">
        <v>2</v>
      </c>
      <c r="O50">
        <v>0</v>
      </c>
      <c r="P50" s="1">
        <v>0</v>
      </c>
      <c r="Q50" s="1">
        <v>1</v>
      </c>
    </row>
    <row r="51" spans="2:17" x14ac:dyDescent="0.35">
      <c r="B51" s="9" t="s">
        <v>2</v>
      </c>
      <c r="C51" s="9" t="s">
        <v>1</v>
      </c>
      <c r="D51" s="9" t="s">
        <v>2</v>
      </c>
      <c r="E51">
        <v>129.57024905842204</v>
      </c>
      <c r="F51">
        <f>MultipleMatchReturnNumeric(B51,C51,D51)</f>
        <v>129.57024905842209</v>
      </c>
      <c r="G51">
        <f>IF(ABS(E51-F51)&lt; 0.000001,0,1)</f>
        <v>0</v>
      </c>
      <c r="L51" t="s">
        <v>1</v>
      </c>
      <c r="M51" t="s">
        <v>0</v>
      </c>
      <c r="N51" t="s">
        <v>2</v>
      </c>
      <c r="O51">
        <v>1</v>
      </c>
      <c r="P51" s="1">
        <v>5.2610046638076966</v>
      </c>
      <c r="Q51" s="1">
        <v>203650.33207131701</v>
      </c>
    </row>
    <row r="52" spans="2:17" x14ac:dyDescent="0.35">
      <c r="B52" s="9" t="s">
        <v>2</v>
      </c>
      <c r="C52" s="9" t="s">
        <v>2</v>
      </c>
      <c r="D52" s="9" t="s">
        <v>0</v>
      </c>
      <c r="E52">
        <v>204000675.76798993</v>
      </c>
      <c r="F52">
        <f>MultipleMatchReturnNumeric(B52,C52,D52)</f>
        <v>204000675.7679899</v>
      </c>
      <c r="G52">
        <f>IF(ABS(E52-F52)&lt; 0.000001,0,1)</f>
        <v>0</v>
      </c>
      <c r="L52" t="s">
        <v>1</v>
      </c>
      <c r="M52" t="s">
        <v>0</v>
      </c>
      <c r="N52" t="s">
        <v>2</v>
      </c>
      <c r="O52">
        <v>2</v>
      </c>
      <c r="P52" s="1">
        <v>8.5030935565335444</v>
      </c>
      <c r="Q52" s="1">
        <v>256067.63076211899</v>
      </c>
    </row>
    <row r="53" spans="2:17" x14ac:dyDescent="0.35">
      <c r="B53" s="9" t="s">
        <v>2</v>
      </c>
      <c r="C53" s="9" t="s">
        <v>2</v>
      </c>
      <c r="D53" s="9" t="s">
        <v>1</v>
      </c>
      <c r="E53">
        <v>1430532672.7731838</v>
      </c>
      <c r="F53">
        <f>MultipleMatchReturnNumeric(B53,C53,D53)</f>
        <v>1430532672.7731841</v>
      </c>
      <c r="G53">
        <f>IF(ABS(E53-F53)&lt; 0.000001,0,1)</f>
        <v>0</v>
      </c>
      <c r="L53" t="s">
        <v>1</v>
      </c>
      <c r="M53" t="s">
        <v>0</v>
      </c>
      <c r="N53" t="s">
        <v>2</v>
      </c>
      <c r="O53">
        <v>3</v>
      </c>
      <c r="P53" s="1">
        <v>14.203542751488309</v>
      </c>
      <c r="Q53" s="1">
        <v>292241.80813188077</v>
      </c>
    </row>
    <row r="54" spans="2:17" x14ac:dyDescent="0.35">
      <c r="B54" s="9" t="s">
        <v>2</v>
      </c>
      <c r="C54" s="9" t="s">
        <v>2</v>
      </c>
      <c r="D54" s="9" t="s">
        <v>2</v>
      </c>
      <c r="E54">
        <v>973.91712610449599</v>
      </c>
      <c r="F54">
        <f>MultipleMatchReturnNumeric(B54,C54,D54)</f>
        <v>973.91712610449599</v>
      </c>
      <c r="G54">
        <f>IF(ABS(E54-F54)&lt; 0.000001,0,1)</f>
        <v>0</v>
      </c>
      <c r="L54" t="s">
        <v>1</v>
      </c>
      <c r="M54" t="s">
        <v>1</v>
      </c>
      <c r="N54" t="s">
        <v>0</v>
      </c>
      <c r="O54">
        <v>0</v>
      </c>
      <c r="P54" s="1">
        <v>0</v>
      </c>
      <c r="Q54" s="1">
        <v>1</v>
      </c>
    </row>
    <row r="55" spans="2:17" x14ac:dyDescent="0.35">
      <c r="L55" t="s">
        <v>1</v>
      </c>
      <c r="M55" t="s">
        <v>1</v>
      </c>
      <c r="N55" t="s">
        <v>0</v>
      </c>
      <c r="O55">
        <v>1</v>
      </c>
      <c r="P55" s="1">
        <v>371.39932612569993</v>
      </c>
      <c r="Q55" s="1">
        <v>46.48373439255387</v>
      </c>
    </row>
    <row r="56" spans="2:17" x14ac:dyDescent="0.35">
      <c r="L56" t="s">
        <v>1</v>
      </c>
      <c r="M56" t="s">
        <v>1</v>
      </c>
      <c r="N56" t="s">
        <v>0</v>
      </c>
      <c r="O56">
        <v>2</v>
      </c>
      <c r="P56" s="1">
        <v>525.19371925760788</v>
      </c>
      <c r="Q56" s="1">
        <v>56.893980910799328</v>
      </c>
    </row>
    <row r="57" spans="2:17" x14ac:dyDescent="0.35">
      <c r="L57" t="s">
        <v>1</v>
      </c>
      <c r="M57" t="s">
        <v>1</v>
      </c>
      <c r="N57" t="s">
        <v>0</v>
      </c>
      <c r="O57">
        <v>3</v>
      </c>
      <c r="P57" s="1">
        <v>621.9294586135677</v>
      </c>
      <c r="Q57" s="1">
        <v>71.268761877017184</v>
      </c>
    </row>
    <row r="58" spans="2:17" x14ac:dyDescent="0.35">
      <c r="L58" t="s">
        <v>1</v>
      </c>
      <c r="M58" t="s">
        <v>1</v>
      </c>
      <c r="N58" t="s">
        <v>1</v>
      </c>
      <c r="O58">
        <v>0</v>
      </c>
      <c r="P58" s="1">
        <v>0</v>
      </c>
      <c r="Q58" s="1">
        <v>1</v>
      </c>
    </row>
    <row r="59" spans="2:17" x14ac:dyDescent="0.35">
      <c r="L59" t="s">
        <v>1</v>
      </c>
      <c r="M59" t="s">
        <v>1</v>
      </c>
      <c r="N59" t="s">
        <v>1</v>
      </c>
      <c r="O59">
        <v>1</v>
      </c>
      <c r="P59" s="1">
        <v>519.88799083871697</v>
      </c>
      <c r="Q59" s="1">
        <v>320124.77738085127</v>
      </c>
    </row>
    <row r="60" spans="2:17" x14ac:dyDescent="0.35">
      <c r="L60" t="s">
        <v>1</v>
      </c>
      <c r="M60" t="s">
        <v>1</v>
      </c>
      <c r="N60" t="s">
        <v>1</v>
      </c>
      <c r="O60">
        <v>2</v>
      </c>
      <c r="P60" s="1">
        <v>526.52405245594662</v>
      </c>
      <c r="Q60" s="1">
        <v>355372.59344571125</v>
      </c>
    </row>
    <row r="61" spans="2:17" x14ac:dyDescent="0.35">
      <c r="L61" t="s">
        <v>1</v>
      </c>
      <c r="M61" t="s">
        <v>1</v>
      </c>
      <c r="N61" t="s">
        <v>1</v>
      </c>
      <c r="O61">
        <v>3</v>
      </c>
      <c r="P61" s="1">
        <v>618.11766001930232</v>
      </c>
      <c r="Q61" s="1">
        <v>506386.85926206462</v>
      </c>
    </row>
    <row r="62" spans="2:17" x14ac:dyDescent="0.35">
      <c r="L62" t="s">
        <v>1</v>
      </c>
      <c r="M62" t="s">
        <v>1</v>
      </c>
      <c r="N62" t="s">
        <v>2</v>
      </c>
      <c r="O62">
        <v>0</v>
      </c>
      <c r="P62" s="1">
        <v>0</v>
      </c>
      <c r="Q62" s="1">
        <v>1</v>
      </c>
    </row>
    <row r="63" spans="2:17" x14ac:dyDescent="0.35">
      <c r="L63" t="s">
        <v>1</v>
      </c>
      <c r="M63" t="s">
        <v>1</v>
      </c>
      <c r="N63" t="s">
        <v>2</v>
      </c>
      <c r="O63">
        <v>1</v>
      </c>
      <c r="P63" s="1">
        <v>1736.7797038684457</v>
      </c>
      <c r="Q63" s="1">
        <v>12.87471229305198</v>
      </c>
    </row>
    <row r="64" spans="2:17" x14ac:dyDescent="0.35">
      <c r="L64" t="s">
        <v>1</v>
      </c>
      <c r="M64" t="s">
        <v>1</v>
      </c>
      <c r="N64" t="s">
        <v>2</v>
      </c>
      <c r="O64">
        <v>2</v>
      </c>
      <c r="P64" s="1">
        <v>2347.9951809806389</v>
      </c>
      <c r="Q64" s="1">
        <v>18.315298363592774</v>
      </c>
    </row>
    <row r="65" spans="12:17" x14ac:dyDescent="0.35">
      <c r="L65" t="s">
        <v>1</v>
      </c>
      <c r="M65" t="s">
        <v>1</v>
      </c>
      <c r="N65" t="s">
        <v>2</v>
      </c>
      <c r="O65">
        <v>3</v>
      </c>
      <c r="P65" s="1">
        <v>2951.0177698249026</v>
      </c>
      <c r="Q65" s="1">
        <v>30.565287266593028</v>
      </c>
    </row>
    <row r="66" spans="12:17" x14ac:dyDescent="0.35">
      <c r="L66" t="s">
        <v>1</v>
      </c>
      <c r="M66" t="s">
        <v>2</v>
      </c>
      <c r="N66" t="s">
        <v>0</v>
      </c>
      <c r="O66">
        <v>0</v>
      </c>
      <c r="P66" s="1">
        <v>0</v>
      </c>
      <c r="Q66" s="1">
        <v>1</v>
      </c>
    </row>
    <row r="67" spans="12:17" x14ac:dyDescent="0.35">
      <c r="L67" t="s">
        <v>1</v>
      </c>
      <c r="M67" t="s">
        <v>2</v>
      </c>
      <c r="N67" t="s">
        <v>0</v>
      </c>
      <c r="O67">
        <v>1</v>
      </c>
      <c r="P67" s="1">
        <v>534.61053936190672</v>
      </c>
      <c r="Q67" s="1">
        <v>818574.40221290139</v>
      </c>
    </row>
    <row r="68" spans="12:17" x14ac:dyDescent="0.35">
      <c r="L68" t="s">
        <v>1</v>
      </c>
      <c r="M68" t="s">
        <v>2</v>
      </c>
      <c r="N68" t="s">
        <v>0</v>
      </c>
      <c r="O68">
        <v>2</v>
      </c>
      <c r="P68" s="1">
        <v>535.83743552267015</v>
      </c>
      <c r="Q68" s="1">
        <v>473429.77754060243</v>
      </c>
    </row>
    <row r="69" spans="12:17" x14ac:dyDescent="0.35">
      <c r="L69" t="s">
        <v>1</v>
      </c>
      <c r="M69" t="s">
        <v>2</v>
      </c>
      <c r="N69" t="s">
        <v>0</v>
      </c>
      <c r="O69">
        <v>3</v>
      </c>
      <c r="P69" s="1">
        <v>740.44056101033595</v>
      </c>
      <c r="Q69" s="1">
        <v>671275.63408292818</v>
      </c>
    </row>
    <row r="70" spans="12:17" x14ac:dyDescent="0.35">
      <c r="L70" t="s">
        <v>1</v>
      </c>
      <c r="M70" t="s">
        <v>2</v>
      </c>
      <c r="N70" t="s">
        <v>1</v>
      </c>
      <c r="O70">
        <v>0</v>
      </c>
      <c r="P70" s="1">
        <v>0</v>
      </c>
      <c r="Q70" s="1">
        <v>1</v>
      </c>
    </row>
    <row r="71" spans="12:17" x14ac:dyDescent="0.35">
      <c r="L71" t="s">
        <v>1</v>
      </c>
      <c r="M71" t="s">
        <v>2</v>
      </c>
      <c r="N71" t="s">
        <v>1</v>
      </c>
      <c r="O71">
        <v>1</v>
      </c>
      <c r="P71" s="1">
        <v>873.90333670947098</v>
      </c>
      <c r="Q71" s="1">
        <v>5.5308464608446828</v>
      </c>
    </row>
    <row r="72" spans="12:17" x14ac:dyDescent="0.35">
      <c r="L72" t="s">
        <v>1</v>
      </c>
      <c r="M72" t="s">
        <v>2</v>
      </c>
      <c r="N72" t="s">
        <v>1</v>
      </c>
      <c r="O72">
        <v>2</v>
      </c>
      <c r="P72" s="1">
        <v>1640.7421997836814</v>
      </c>
      <c r="Q72" s="1">
        <v>3.7891915013635131</v>
      </c>
    </row>
    <row r="73" spans="12:17" x14ac:dyDescent="0.35">
      <c r="L73" t="s">
        <v>1</v>
      </c>
      <c r="M73" t="s">
        <v>2</v>
      </c>
      <c r="N73" t="s">
        <v>1</v>
      </c>
      <c r="O73">
        <v>3</v>
      </c>
      <c r="P73" s="1">
        <v>2167.1256906430149</v>
      </c>
      <c r="Q73" s="1">
        <v>5.2369261422376665</v>
      </c>
    </row>
    <row r="74" spans="12:17" x14ac:dyDescent="0.35">
      <c r="L74" t="s">
        <v>1</v>
      </c>
      <c r="M74" t="s">
        <v>2</v>
      </c>
      <c r="N74" t="s">
        <v>2</v>
      </c>
      <c r="O74">
        <v>0</v>
      </c>
      <c r="P74" s="1">
        <v>0</v>
      </c>
      <c r="Q74" s="1">
        <v>1</v>
      </c>
    </row>
    <row r="75" spans="12:17" x14ac:dyDescent="0.35">
      <c r="L75" t="s">
        <v>1</v>
      </c>
      <c r="M75" t="s">
        <v>2</v>
      </c>
      <c r="N75" t="s">
        <v>2</v>
      </c>
      <c r="O75">
        <v>1</v>
      </c>
      <c r="P75" s="1">
        <v>4.5893843322318366</v>
      </c>
      <c r="Q75" s="1">
        <v>271.32608217273702</v>
      </c>
    </row>
    <row r="76" spans="12:17" x14ac:dyDescent="0.35">
      <c r="L76" t="s">
        <v>1</v>
      </c>
      <c r="M76" t="s">
        <v>2</v>
      </c>
      <c r="N76" t="s">
        <v>2</v>
      </c>
      <c r="O76">
        <v>2</v>
      </c>
      <c r="P76" s="1">
        <v>6.917525477163986</v>
      </c>
      <c r="Q76" s="1">
        <v>378.73130130993701</v>
      </c>
    </row>
    <row r="77" spans="12:17" x14ac:dyDescent="0.35">
      <c r="L77" t="s">
        <v>1</v>
      </c>
      <c r="M77" t="s">
        <v>2</v>
      </c>
      <c r="N77" t="s">
        <v>2</v>
      </c>
      <c r="O77">
        <v>3</v>
      </c>
      <c r="P77" s="1">
        <v>8.2619091128049185</v>
      </c>
      <c r="Q77" s="1">
        <v>418.03649604351335</v>
      </c>
    </row>
    <row r="78" spans="12:17" x14ac:dyDescent="0.35">
      <c r="L78" t="s">
        <v>2</v>
      </c>
      <c r="M78" t="s">
        <v>0</v>
      </c>
      <c r="N78" t="s">
        <v>0</v>
      </c>
      <c r="O78">
        <v>0</v>
      </c>
      <c r="P78" s="1">
        <v>0</v>
      </c>
      <c r="Q78" s="1">
        <v>1</v>
      </c>
    </row>
    <row r="79" spans="12:17" x14ac:dyDescent="0.35">
      <c r="L79" t="s">
        <v>2</v>
      </c>
      <c r="M79" t="s">
        <v>0</v>
      </c>
      <c r="N79" t="s">
        <v>0</v>
      </c>
      <c r="O79">
        <v>1</v>
      </c>
      <c r="P79" s="1">
        <v>169.76245902684471</v>
      </c>
      <c r="Q79" s="1">
        <v>11026500.943488406</v>
      </c>
    </row>
    <row r="80" spans="12:17" x14ac:dyDescent="0.35">
      <c r="L80" t="s">
        <v>2</v>
      </c>
      <c r="M80" t="s">
        <v>0</v>
      </c>
      <c r="N80" t="s">
        <v>0</v>
      </c>
      <c r="O80">
        <v>2</v>
      </c>
      <c r="P80" s="1">
        <v>260.35087688671661</v>
      </c>
      <c r="Q80" s="1">
        <v>26327365.012117598</v>
      </c>
    </row>
    <row r="81" spans="12:17" x14ac:dyDescent="0.35">
      <c r="L81" t="s">
        <v>2</v>
      </c>
      <c r="M81" t="s">
        <v>0</v>
      </c>
      <c r="N81" t="s">
        <v>0</v>
      </c>
      <c r="O81">
        <v>3</v>
      </c>
      <c r="P81" s="1">
        <v>329.02527865688</v>
      </c>
      <c r="Q81" s="1">
        <v>76072677.45279552</v>
      </c>
    </row>
    <row r="82" spans="12:17" x14ac:dyDescent="0.35">
      <c r="L82" t="s">
        <v>2</v>
      </c>
      <c r="M82" t="s">
        <v>0</v>
      </c>
      <c r="N82" t="s">
        <v>1</v>
      </c>
      <c r="O82">
        <v>0</v>
      </c>
      <c r="P82" s="1">
        <v>0</v>
      </c>
      <c r="Q82" s="1">
        <v>1</v>
      </c>
    </row>
    <row r="83" spans="12:17" x14ac:dyDescent="0.35">
      <c r="L83" t="s">
        <v>2</v>
      </c>
      <c r="M83" t="s">
        <v>0</v>
      </c>
      <c r="N83" t="s">
        <v>1</v>
      </c>
      <c r="O83">
        <v>1</v>
      </c>
      <c r="P83" s="1">
        <v>45281.487312221827</v>
      </c>
      <c r="Q83" s="1">
        <v>22988818.230815407</v>
      </c>
    </row>
    <row r="84" spans="12:17" x14ac:dyDescent="0.35">
      <c r="L84" t="s">
        <v>2</v>
      </c>
      <c r="M84" t="s">
        <v>0</v>
      </c>
      <c r="N84" t="s">
        <v>1</v>
      </c>
      <c r="O84">
        <v>2</v>
      </c>
      <c r="P84" s="1">
        <v>64311.555948999267</v>
      </c>
      <c r="Q84" s="1">
        <v>36179080.498874679</v>
      </c>
    </row>
    <row r="85" spans="12:17" x14ac:dyDescent="0.35">
      <c r="L85" t="s">
        <v>2</v>
      </c>
      <c r="M85" t="s">
        <v>0</v>
      </c>
      <c r="N85" t="s">
        <v>1</v>
      </c>
      <c r="O85">
        <v>3</v>
      </c>
      <c r="P85" s="1">
        <v>77218.254144733932</v>
      </c>
      <c r="Q85" s="1">
        <v>41616148.875773117</v>
      </c>
    </row>
    <row r="86" spans="12:17" x14ac:dyDescent="0.35">
      <c r="L86" t="s">
        <v>2</v>
      </c>
      <c r="M86" t="s">
        <v>0</v>
      </c>
      <c r="N86" t="s">
        <v>2</v>
      </c>
      <c r="O86">
        <v>0</v>
      </c>
      <c r="P86" s="1">
        <v>0</v>
      </c>
      <c r="Q86" s="1">
        <v>1</v>
      </c>
    </row>
    <row r="87" spans="12:17" x14ac:dyDescent="0.35">
      <c r="L87" t="s">
        <v>2</v>
      </c>
      <c r="M87" t="s">
        <v>0</v>
      </c>
      <c r="N87" t="s">
        <v>2</v>
      </c>
      <c r="O87">
        <v>1</v>
      </c>
      <c r="P87" s="1">
        <v>357.56914715059258</v>
      </c>
      <c r="Q87" s="1">
        <v>3.3623867508680561</v>
      </c>
    </row>
    <row r="88" spans="12:17" x14ac:dyDescent="0.35">
      <c r="L88" t="s">
        <v>2</v>
      </c>
      <c r="M88" t="s">
        <v>0</v>
      </c>
      <c r="N88" t="s">
        <v>2</v>
      </c>
      <c r="O88">
        <v>2</v>
      </c>
      <c r="P88" s="1">
        <v>4290.0529519584898</v>
      </c>
      <c r="Q88" s="1">
        <v>5.3319706053934741</v>
      </c>
    </row>
    <row r="89" spans="12:17" x14ac:dyDescent="0.35">
      <c r="L89" t="s">
        <v>2</v>
      </c>
      <c r="M89" t="s">
        <v>0</v>
      </c>
      <c r="N89" t="s">
        <v>2</v>
      </c>
      <c r="O89">
        <v>3</v>
      </c>
      <c r="P89" s="1">
        <v>9240.1940859427687</v>
      </c>
      <c r="Q89" s="1">
        <v>6.1781690159130553</v>
      </c>
    </row>
    <row r="90" spans="12:17" x14ac:dyDescent="0.35">
      <c r="L90" t="s">
        <v>2</v>
      </c>
      <c r="M90" t="s">
        <v>1</v>
      </c>
      <c r="N90" t="s">
        <v>0</v>
      </c>
      <c r="O90">
        <v>0</v>
      </c>
      <c r="P90" s="1">
        <v>0</v>
      </c>
      <c r="Q90" s="1">
        <v>1</v>
      </c>
    </row>
    <row r="91" spans="12:17" x14ac:dyDescent="0.35">
      <c r="L91" t="s">
        <v>2</v>
      </c>
      <c r="M91" t="s">
        <v>1</v>
      </c>
      <c r="N91" t="s">
        <v>0</v>
      </c>
      <c r="O91">
        <v>1</v>
      </c>
      <c r="P91" s="1">
        <v>4</v>
      </c>
      <c r="Q91" s="1">
        <v>57787.59890564072</v>
      </c>
    </row>
    <row r="92" spans="12:17" x14ac:dyDescent="0.35">
      <c r="L92" t="s">
        <v>2</v>
      </c>
      <c r="M92" t="s">
        <v>1</v>
      </c>
      <c r="N92" t="s">
        <v>0</v>
      </c>
      <c r="O92">
        <v>2</v>
      </c>
      <c r="P92" s="1">
        <v>6.2730518734120064</v>
      </c>
      <c r="Q92" s="1">
        <v>68318.461285329176</v>
      </c>
    </row>
    <row r="93" spans="12:17" x14ac:dyDescent="0.35">
      <c r="L93" t="s">
        <v>2</v>
      </c>
      <c r="M93" t="s">
        <v>1</v>
      </c>
      <c r="N93" t="s">
        <v>0</v>
      </c>
      <c r="O93">
        <v>3</v>
      </c>
      <c r="P93" s="1">
        <v>8.3739497243440049</v>
      </c>
      <c r="Q93" s="1">
        <v>124006.96649103881</v>
      </c>
    </row>
    <row r="94" spans="12:17" x14ac:dyDescent="0.35">
      <c r="L94" t="s">
        <v>2</v>
      </c>
      <c r="M94" t="s">
        <v>1</v>
      </c>
      <c r="N94" t="s">
        <v>1</v>
      </c>
      <c r="O94">
        <v>0</v>
      </c>
      <c r="P94" s="1">
        <v>0</v>
      </c>
      <c r="Q94" s="1">
        <v>1</v>
      </c>
    </row>
    <row r="95" spans="12:17" x14ac:dyDescent="0.35">
      <c r="L95" t="s">
        <v>2</v>
      </c>
      <c r="M95" t="s">
        <v>1</v>
      </c>
      <c r="N95" t="s">
        <v>1</v>
      </c>
      <c r="O95">
        <v>1</v>
      </c>
      <c r="P95" s="1">
        <v>4.0790346851490904</v>
      </c>
      <c r="Q95" s="1">
        <v>487.45835834889658</v>
      </c>
    </row>
    <row r="96" spans="12:17" x14ac:dyDescent="0.35">
      <c r="L96" t="s">
        <v>2</v>
      </c>
      <c r="M96" t="s">
        <v>1</v>
      </c>
      <c r="N96" t="s">
        <v>1</v>
      </c>
      <c r="O96">
        <v>2</v>
      </c>
      <c r="P96" s="1">
        <v>7.1174884139282417</v>
      </c>
      <c r="Q96" s="1">
        <v>324.55491919161261</v>
      </c>
    </row>
    <row r="97" spans="12:21" x14ac:dyDescent="0.35">
      <c r="L97" t="s">
        <v>2</v>
      </c>
      <c r="M97" t="s">
        <v>1</v>
      </c>
      <c r="N97" t="s">
        <v>1</v>
      </c>
      <c r="O97">
        <v>3</v>
      </c>
      <c r="P97" s="1">
        <v>8.1858124681884572</v>
      </c>
      <c r="Q97" s="1">
        <v>462.94208062296951</v>
      </c>
    </row>
    <row r="98" spans="12:21" x14ac:dyDescent="0.35">
      <c r="L98" t="s">
        <v>2</v>
      </c>
      <c r="M98" t="s">
        <v>1</v>
      </c>
      <c r="N98" t="s">
        <v>2</v>
      </c>
      <c r="O98">
        <v>0</v>
      </c>
      <c r="P98" s="1">
        <v>0</v>
      </c>
      <c r="Q98" s="1">
        <v>1</v>
      </c>
    </row>
    <row r="99" spans="12:21" x14ac:dyDescent="0.35">
      <c r="L99" t="s">
        <v>2</v>
      </c>
      <c r="M99" t="s">
        <v>1</v>
      </c>
      <c r="N99" t="s">
        <v>2</v>
      </c>
      <c r="O99">
        <v>1</v>
      </c>
      <c r="P99" s="1">
        <v>11.919228224531595</v>
      </c>
      <c r="Q99" s="1">
        <v>51.552067368712819</v>
      </c>
      <c r="U99" s="6"/>
    </row>
    <row r="100" spans="12:21" x14ac:dyDescent="0.35">
      <c r="L100" t="s">
        <v>2</v>
      </c>
      <c r="M100" t="s">
        <v>1</v>
      </c>
      <c r="N100" t="s">
        <v>2</v>
      </c>
      <c r="O100">
        <v>2</v>
      </c>
      <c r="P100" s="1">
        <v>61.639136806336744</v>
      </c>
      <c r="Q100" s="1">
        <v>32.79178065103477</v>
      </c>
    </row>
    <row r="101" spans="12:21" x14ac:dyDescent="0.35">
      <c r="L101" t="s">
        <v>2</v>
      </c>
      <c r="M101" t="s">
        <v>1</v>
      </c>
      <c r="N101" t="s">
        <v>2</v>
      </c>
      <c r="O101">
        <v>3</v>
      </c>
      <c r="P101" s="1">
        <v>106.06842050306169</v>
      </c>
      <c r="Q101" s="1">
        <v>44.226401038674453</v>
      </c>
    </row>
    <row r="102" spans="12:21" x14ac:dyDescent="0.35">
      <c r="L102" t="s">
        <v>2</v>
      </c>
      <c r="M102" t="s">
        <v>2</v>
      </c>
      <c r="N102" t="s">
        <v>0</v>
      </c>
      <c r="O102">
        <v>0</v>
      </c>
      <c r="P102" s="1">
        <v>0</v>
      </c>
      <c r="Q102" s="1">
        <v>1</v>
      </c>
    </row>
    <row r="103" spans="12:21" x14ac:dyDescent="0.35">
      <c r="L103" t="s">
        <v>2</v>
      </c>
      <c r="M103" t="s">
        <v>2</v>
      </c>
      <c r="N103" t="s">
        <v>0</v>
      </c>
      <c r="O103">
        <v>1</v>
      </c>
      <c r="P103" s="1">
        <v>1.4749847974150934</v>
      </c>
      <c r="Q103" s="1">
        <v>52266617.048029259</v>
      </c>
    </row>
    <row r="104" spans="12:21" x14ac:dyDescent="0.35">
      <c r="L104" t="s">
        <v>2</v>
      </c>
      <c r="M104" t="s">
        <v>2</v>
      </c>
      <c r="N104" t="s">
        <v>0</v>
      </c>
      <c r="O104">
        <v>2</v>
      </c>
      <c r="P104" s="1">
        <v>2.7870405957017863</v>
      </c>
      <c r="Q104" s="1">
        <v>67229039.851606011</v>
      </c>
    </row>
    <row r="105" spans="12:21" x14ac:dyDescent="0.35">
      <c r="L105" t="s">
        <v>2</v>
      </c>
      <c r="M105" t="s">
        <v>2</v>
      </c>
      <c r="N105" t="s">
        <v>0</v>
      </c>
      <c r="O105">
        <v>3</v>
      </c>
      <c r="P105" s="1">
        <v>4.760842733190545</v>
      </c>
      <c r="Q105" s="1">
        <v>84505017.868354648</v>
      </c>
    </row>
    <row r="106" spans="12:21" x14ac:dyDescent="0.35">
      <c r="L106" t="s">
        <v>2</v>
      </c>
      <c r="M106" t="s">
        <v>2</v>
      </c>
      <c r="N106" t="s">
        <v>1</v>
      </c>
      <c r="O106">
        <v>0</v>
      </c>
      <c r="P106" s="1">
        <v>0</v>
      </c>
      <c r="Q106" s="1">
        <v>1</v>
      </c>
    </row>
    <row r="107" spans="12:21" x14ac:dyDescent="0.35">
      <c r="L107" t="s">
        <v>2</v>
      </c>
      <c r="M107" t="s">
        <v>2</v>
      </c>
      <c r="N107" t="s">
        <v>1</v>
      </c>
      <c r="O107">
        <v>1</v>
      </c>
      <c r="P107" s="1">
        <v>4.049184828269901</v>
      </c>
      <c r="Q107" s="1">
        <v>452073673.79274911</v>
      </c>
    </row>
    <row r="108" spans="12:21" x14ac:dyDescent="0.35">
      <c r="L108" t="s">
        <v>2</v>
      </c>
      <c r="M108" t="s">
        <v>2</v>
      </c>
      <c r="N108" t="s">
        <v>1</v>
      </c>
      <c r="O108">
        <v>2</v>
      </c>
      <c r="P108" s="1">
        <v>6.0945909160417031</v>
      </c>
      <c r="Q108" s="1">
        <v>470325176.57976329</v>
      </c>
    </row>
    <row r="109" spans="12:21" x14ac:dyDescent="0.35">
      <c r="L109" t="s">
        <v>2</v>
      </c>
      <c r="M109" t="s">
        <v>2</v>
      </c>
      <c r="N109" t="s">
        <v>1</v>
      </c>
      <c r="O109">
        <v>3</v>
      </c>
      <c r="P109" s="1">
        <v>9</v>
      </c>
      <c r="Q109" s="1">
        <v>508133821.4006716</v>
      </c>
    </row>
    <row r="110" spans="12:21" x14ac:dyDescent="0.35">
      <c r="L110" t="s">
        <v>2</v>
      </c>
      <c r="M110" t="s">
        <v>2</v>
      </c>
      <c r="N110" t="s">
        <v>2</v>
      </c>
      <c r="O110">
        <v>0</v>
      </c>
      <c r="P110" s="1">
        <v>0</v>
      </c>
      <c r="Q110" s="1">
        <v>1</v>
      </c>
    </row>
    <row r="111" spans="12:21" x14ac:dyDescent="0.35">
      <c r="L111" t="s">
        <v>2</v>
      </c>
      <c r="M111" t="s">
        <v>2</v>
      </c>
      <c r="N111" t="s">
        <v>2</v>
      </c>
      <c r="O111">
        <v>1</v>
      </c>
      <c r="P111" s="1">
        <v>1757.0229844103737</v>
      </c>
      <c r="Q111" s="1">
        <v>291.25214247518284</v>
      </c>
    </row>
    <row r="112" spans="12:21" x14ac:dyDescent="0.35">
      <c r="L112" t="s">
        <v>2</v>
      </c>
      <c r="M112" t="s">
        <v>2</v>
      </c>
      <c r="N112" t="s">
        <v>2</v>
      </c>
      <c r="O112">
        <v>2</v>
      </c>
      <c r="P112" s="1">
        <v>2466.7467772957793</v>
      </c>
      <c r="Q112" s="1">
        <v>339.64087400512534</v>
      </c>
    </row>
    <row r="113" spans="12:17" x14ac:dyDescent="0.35">
      <c r="L113" t="s">
        <v>2</v>
      </c>
      <c r="M113" t="s">
        <v>2</v>
      </c>
      <c r="N113" t="s">
        <v>2</v>
      </c>
      <c r="O113">
        <v>3</v>
      </c>
      <c r="P113" s="1">
        <v>4688.6956993980075</v>
      </c>
      <c r="Q113" s="1">
        <v>342.0241096241877</v>
      </c>
    </row>
  </sheetData>
  <mergeCells count="1">
    <mergeCell ref="B26:D26"/>
  </mergeCells>
  <phoneticPr fontId="6" type="noConversion"/>
  <pageMargins left="0.7" right="0.7" top="0.75" bottom="0.75" header="0.3" footer="0.3"/>
  <pageSetup orientation="portrait" r:id="rId1"/>
  <tableParts count="1">
    <tablePart r:id="rId2"/>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B1EE6B-AB2D-42CC-BA55-D2D9E38BD75B}">
  <sheetPr codeName="Sheet16"/>
  <dimension ref="A1:W125"/>
  <sheetViews>
    <sheetView topLeftCell="A4" workbookViewId="0">
      <selection activeCell="H13" sqref="H13"/>
    </sheetView>
  </sheetViews>
  <sheetFormatPr defaultRowHeight="14.5" x14ac:dyDescent="0.35"/>
  <cols>
    <col min="1" max="1" width="12.1796875" customWidth="1"/>
    <col min="2" max="2" width="13.81640625" customWidth="1"/>
    <col min="6" max="7" width="11.453125" customWidth="1"/>
    <col min="18" max="18" width="10.453125" customWidth="1"/>
    <col min="19" max="20" width="14.453125" bestFit="1" customWidth="1"/>
    <col min="21" max="25" width="14.453125" customWidth="1"/>
    <col min="26" max="26" width="11" bestFit="1" customWidth="1"/>
  </cols>
  <sheetData>
    <row r="1" spans="1:19" hidden="1" x14ac:dyDescent="0.35">
      <c r="A1" t="s">
        <v>80</v>
      </c>
      <c r="B1" t="s">
        <v>81</v>
      </c>
    </row>
    <row r="2" spans="1:19" hidden="1" x14ac:dyDescent="0.35">
      <c r="A2" t="s">
        <v>80</v>
      </c>
    </row>
    <row r="3" spans="1:19" hidden="1" x14ac:dyDescent="0.35">
      <c r="A3" t="s">
        <v>80</v>
      </c>
    </row>
    <row r="4" spans="1:19" x14ac:dyDescent="0.35">
      <c r="A4" s="5" t="s">
        <v>149</v>
      </c>
    </row>
    <row r="5" spans="1:19" x14ac:dyDescent="0.35">
      <c r="A5" t="s">
        <v>150</v>
      </c>
    </row>
    <row r="6" spans="1:19" x14ac:dyDescent="0.35">
      <c r="A6" s="18" t="s">
        <v>151</v>
      </c>
      <c r="N6" t="s">
        <v>11</v>
      </c>
      <c r="O6" t="s">
        <v>12</v>
      </c>
      <c r="P6" t="s">
        <v>13</v>
      </c>
      <c r="Q6" t="s">
        <v>5</v>
      </c>
      <c r="R6" t="s">
        <v>4</v>
      </c>
      <c r="S6" t="s">
        <v>3</v>
      </c>
    </row>
    <row r="7" spans="1:19" x14ac:dyDescent="0.35">
      <c r="N7" t="s">
        <v>0</v>
      </c>
      <c r="O7" t="s">
        <v>0</v>
      </c>
      <c r="P7" t="s">
        <v>0</v>
      </c>
      <c r="Q7">
        <v>0</v>
      </c>
      <c r="R7" s="1">
        <v>0</v>
      </c>
      <c r="S7" s="1">
        <v>1</v>
      </c>
    </row>
    <row r="8" spans="1:19" x14ac:dyDescent="0.35">
      <c r="A8" t="s">
        <v>14</v>
      </c>
      <c r="B8" s="23" t="s">
        <v>1</v>
      </c>
      <c r="N8" t="s">
        <v>0</v>
      </c>
      <c r="O8" t="s">
        <v>0</v>
      </c>
      <c r="P8" t="s">
        <v>0</v>
      </c>
      <c r="Q8">
        <v>1</v>
      </c>
      <c r="R8" s="1">
        <v>1.5261890228122563</v>
      </c>
      <c r="S8" s="1">
        <v>546318.83737814485</v>
      </c>
    </row>
    <row r="9" spans="1:19" x14ac:dyDescent="0.35">
      <c r="A9" t="s">
        <v>15</v>
      </c>
      <c r="B9" s="23" t="s">
        <v>0</v>
      </c>
      <c r="N9" t="s">
        <v>0</v>
      </c>
      <c r="O9" t="s">
        <v>0</v>
      </c>
      <c r="P9" t="s">
        <v>0</v>
      </c>
      <c r="Q9">
        <v>2</v>
      </c>
      <c r="R9" s="1">
        <v>3</v>
      </c>
      <c r="S9" s="1">
        <v>1037307.0567016189</v>
      </c>
    </row>
    <row r="10" spans="1:19" x14ac:dyDescent="0.35">
      <c r="A10" t="s">
        <v>16</v>
      </c>
      <c r="B10" s="23" t="s">
        <v>1</v>
      </c>
      <c r="N10" t="s">
        <v>0</v>
      </c>
      <c r="O10" t="s">
        <v>0</v>
      </c>
      <c r="P10" t="s">
        <v>0</v>
      </c>
      <c r="Q10">
        <v>3</v>
      </c>
      <c r="R10" s="1">
        <v>6.5255204875320274</v>
      </c>
      <c r="S10" s="1">
        <v>1299951.4226145379</v>
      </c>
    </row>
    <row r="11" spans="1:19" x14ac:dyDescent="0.35">
      <c r="A11" t="s">
        <v>17</v>
      </c>
      <c r="B11" s="23">
        <v>1</v>
      </c>
      <c r="N11" t="s">
        <v>0</v>
      </c>
      <c r="O11" t="s">
        <v>0</v>
      </c>
      <c r="P11" t="s">
        <v>1</v>
      </c>
      <c r="Q11">
        <v>0</v>
      </c>
      <c r="R11" s="1">
        <v>0</v>
      </c>
      <c r="S11" s="1">
        <v>1</v>
      </c>
    </row>
    <row r="12" spans="1:19" x14ac:dyDescent="0.35">
      <c r="N12" t="s">
        <v>0</v>
      </c>
      <c r="O12" t="s">
        <v>0</v>
      </c>
      <c r="P12" t="s">
        <v>1</v>
      </c>
      <c r="Q12">
        <v>1</v>
      </c>
      <c r="R12" s="1">
        <v>457.89715574024206</v>
      </c>
      <c r="S12" s="1">
        <v>6800948.9139359165</v>
      </c>
    </row>
    <row r="13" spans="1:19" x14ac:dyDescent="0.35">
      <c r="A13" t="s">
        <v>19</v>
      </c>
      <c r="B13" s="22" cm="1">
        <f t="array" ref="B13">INDEX(MyTestTable15[lookup],MATCH(1,(MyTestTable15[Field1]=B8)*(MyTestTable15[Field2]=B9)*(MyTestTable15[Field3]=B10)*(MyTestTable15[order]=B11),0))</f>
        <v>2.4807518739444765</v>
      </c>
      <c r="N13" t="s">
        <v>0</v>
      </c>
      <c r="O13" t="s">
        <v>0</v>
      </c>
      <c r="P13" t="s">
        <v>1</v>
      </c>
      <c r="Q13">
        <v>2</v>
      </c>
      <c r="R13" s="1">
        <v>665.41974818871267</v>
      </c>
      <c r="S13" s="1">
        <v>30577029.059039161</v>
      </c>
    </row>
    <row r="14" spans="1:19" x14ac:dyDescent="0.35">
      <c r="N14" t="s">
        <v>0</v>
      </c>
      <c r="O14" t="s">
        <v>0</v>
      </c>
      <c r="P14" t="s">
        <v>1</v>
      </c>
      <c r="Q14">
        <v>3</v>
      </c>
      <c r="R14" s="1">
        <v>732.96431435521231</v>
      </c>
      <c r="S14" s="1">
        <v>64587928.142886072</v>
      </c>
    </row>
    <row r="15" spans="1:19" x14ac:dyDescent="0.35">
      <c r="N15" t="s">
        <v>0</v>
      </c>
      <c r="O15" t="s">
        <v>0</v>
      </c>
      <c r="P15" t="s">
        <v>2</v>
      </c>
      <c r="Q15">
        <v>0</v>
      </c>
      <c r="R15" s="1">
        <v>0</v>
      </c>
      <c r="S15" s="1">
        <v>1</v>
      </c>
    </row>
    <row r="16" spans="1:19" x14ac:dyDescent="0.35">
      <c r="N16" t="s">
        <v>0</v>
      </c>
      <c r="O16" t="s">
        <v>0</v>
      </c>
      <c r="P16" t="s">
        <v>2</v>
      </c>
      <c r="Q16">
        <v>1</v>
      </c>
      <c r="R16" s="1">
        <v>3592.9938823812686</v>
      </c>
      <c r="S16" s="1">
        <v>36462125.075147875</v>
      </c>
    </row>
    <row r="17" spans="1:19" x14ac:dyDescent="0.35">
      <c r="B17" s="27" t="s">
        <v>75</v>
      </c>
      <c r="C17" s="27"/>
      <c r="D17" s="27"/>
      <c r="E17" s="27"/>
      <c r="F17" s="7" t="s">
        <v>76</v>
      </c>
      <c r="G17" s="7" t="s">
        <v>77</v>
      </c>
      <c r="H17" s="7" t="s">
        <v>78</v>
      </c>
      <c r="N17" t="s">
        <v>0</v>
      </c>
      <c r="O17" t="s">
        <v>0</v>
      </c>
      <c r="P17" t="s">
        <v>2</v>
      </c>
      <c r="Q17">
        <v>2</v>
      </c>
      <c r="R17" s="1">
        <v>4317.4518143079749</v>
      </c>
      <c r="S17" s="1">
        <v>48438287.635287218</v>
      </c>
    </row>
    <row r="18" spans="1:19" x14ac:dyDescent="0.35">
      <c r="B18" t="s">
        <v>14</v>
      </c>
      <c r="C18" t="s">
        <v>15</v>
      </c>
      <c r="D18" t="s">
        <v>16</v>
      </c>
      <c r="E18" t="s">
        <v>17</v>
      </c>
      <c r="F18" t="s">
        <v>19</v>
      </c>
      <c r="G18" t="s">
        <v>19</v>
      </c>
      <c r="H18" t="s">
        <v>19</v>
      </c>
      <c r="J18" t="s">
        <v>79</v>
      </c>
      <c r="K18">
        <f>SUM(H19:H125)</f>
        <v>0</v>
      </c>
      <c r="N18" t="s">
        <v>0</v>
      </c>
      <c r="O18" t="s">
        <v>0</v>
      </c>
      <c r="P18" t="s">
        <v>2</v>
      </c>
      <c r="Q18">
        <v>3</v>
      </c>
      <c r="R18" s="1">
        <v>5145.536758387444</v>
      </c>
      <c r="S18" s="1">
        <v>53042320.468393937</v>
      </c>
    </row>
    <row r="19" spans="1:19" x14ac:dyDescent="0.35">
      <c r="A19">
        <v>1</v>
      </c>
      <c r="B19" s="9" t="s">
        <v>0</v>
      </c>
      <c r="C19" s="9" t="s">
        <v>0</v>
      </c>
      <c r="D19" s="9" t="s">
        <v>0</v>
      </c>
      <c r="E19" s="9">
        <v>0</v>
      </c>
      <c r="F19">
        <v>0</v>
      </c>
      <c r="G19">
        <f>mylookup4(B19,C19,D19,E19)</f>
        <v>0</v>
      </c>
      <c r="H19">
        <f>IF(ABS(F19-G19)&lt; 0.000001,0,1)</f>
        <v>0</v>
      </c>
      <c r="N19" t="s">
        <v>0</v>
      </c>
      <c r="O19" t="s">
        <v>1</v>
      </c>
      <c r="P19" t="s">
        <v>0</v>
      </c>
      <c r="Q19">
        <v>0</v>
      </c>
      <c r="R19" s="1">
        <v>0</v>
      </c>
      <c r="S19" s="1">
        <v>0.1</v>
      </c>
    </row>
    <row r="20" spans="1:19" x14ac:dyDescent="0.35">
      <c r="A20">
        <f>A19+1</f>
        <v>2</v>
      </c>
      <c r="B20" s="9" t="s">
        <v>0</v>
      </c>
      <c r="C20" s="9" t="s">
        <v>0</v>
      </c>
      <c r="D20" s="9" t="s">
        <v>0</v>
      </c>
      <c r="E20" s="9">
        <v>1</v>
      </c>
      <c r="F20">
        <v>1.5261890228122563</v>
      </c>
      <c r="G20">
        <f>mylookup4(B20,C20,D20,E20)</f>
        <v>1.5261890228122601</v>
      </c>
      <c r="H20">
        <f>IF(ABS(F20-G20)&lt; 0.000001,0,1)</f>
        <v>0</v>
      </c>
      <c r="N20" t="s">
        <v>0</v>
      </c>
      <c r="O20" t="s">
        <v>1</v>
      </c>
      <c r="P20" t="s">
        <v>0</v>
      </c>
      <c r="Q20">
        <v>1</v>
      </c>
      <c r="R20" s="1">
        <v>1786.3712131444156</v>
      </c>
      <c r="S20" s="1">
        <v>0.22712616889310794</v>
      </c>
    </row>
    <row r="21" spans="1:19" x14ac:dyDescent="0.35">
      <c r="A21">
        <f t="shared" ref="A21:A83" si="0">A20+1</f>
        <v>3</v>
      </c>
      <c r="B21" s="9" t="s">
        <v>0</v>
      </c>
      <c r="C21" s="9" t="s">
        <v>0</v>
      </c>
      <c r="D21" s="9" t="s">
        <v>0</v>
      </c>
      <c r="E21" s="9">
        <v>2</v>
      </c>
      <c r="F21">
        <v>3</v>
      </c>
      <c r="G21">
        <f>mylookup4(B21,C21,D21,E21)</f>
        <v>3</v>
      </c>
      <c r="H21">
        <f>IF(ABS(F21-G21)&lt; 0.000001,0,1)</f>
        <v>0</v>
      </c>
      <c r="N21" t="s">
        <v>0</v>
      </c>
      <c r="O21" t="s">
        <v>1</v>
      </c>
      <c r="P21" t="s">
        <v>0</v>
      </c>
      <c r="Q21">
        <v>2</v>
      </c>
      <c r="R21" s="1">
        <v>2650.1850237489953</v>
      </c>
      <c r="S21" s="1">
        <v>0.37457202935904388</v>
      </c>
    </row>
    <row r="22" spans="1:19" x14ac:dyDescent="0.35">
      <c r="A22">
        <f t="shared" si="0"/>
        <v>4</v>
      </c>
      <c r="B22" s="9" t="s">
        <v>0</v>
      </c>
      <c r="C22" s="9" t="s">
        <v>0</v>
      </c>
      <c r="D22" s="9" t="s">
        <v>0</v>
      </c>
      <c r="E22" s="9">
        <v>3</v>
      </c>
      <c r="F22">
        <v>6.5255204875320274</v>
      </c>
      <c r="G22">
        <f>mylookup4(B22,C22,D22,E22)</f>
        <v>6.5255204875320301</v>
      </c>
      <c r="H22">
        <f>IF(ABS(F22-G22)&lt; 0.000001,0,1)</f>
        <v>0</v>
      </c>
      <c r="N22" t="s">
        <v>0</v>
      </c>
      <c r="O22" t="s">
        <v>1</v>
      </c>
      <c r="P22" t="s">
        <v>0</v>
      </c>
      <c r="Q22">
        <v>3</v>
      </c>
      <c r="R22" s="1">
        <v>3118.6786834445575</v>
      </c>
      <c r="S22" s="1">
        <v>0.758624074119986</v>
      </c>
    </row>
    <row r="23" spans="1:19" x14ac:dyDescent="0.35">
      <c r="A23">
        <f t="shared" si="0"/>
        <v>5</v>
      </c>
      <c r="B23" s="9" t="s">
        <v>0</v>
      </c>
      <c r="C23" s="9" t="s">
        <v>0</v>
      </c>
      <c r="D23" s="9" t="s">
        <v>1</v>
      </c>
      <c r="E23" s="9">
        <v>0</v>
      </c>
      <c r="F23">
        <v>0</v>
      </c>
      <c r="G23">
        <f>mylookup4(B23,C23,D23,E23)</f>
        <v>0</v>
      </c>
      <c r="H23">
        <f>IF(ABS(F23-G23)&lt; 0.000001,0,1)</f>
        <v>0</v>
      </c>
      <c r="N23" t="s">
        <v>0</v>
      </c>
      <c r="O23" t="s">
        <v>1</v>
      </c>
      <c r="P23" t="s">
        <v>1</v>
      </c>
      <c r="Q23">
        <v>0</v>
      </c>
      <c r="R23" s="1">
        <v>0</v>
      </c>
      <c r="S23" s="1">
        <v>1</v>
      </c>
    </row>
    <row r="24" spans="1:19" x14ac:dyDescent="0.35">
      <c r="A24">
        <f t="shared" si="0"/>
        <v>6</v>
      </c>
      <c r="B24" s="9" t="s">
        <v>0</v>
      </c>
      <c r="C24" s="9" t="s">
        <v>0</v>
      </c>
      <c r="D24" s="9" t="s">
        <v>1</v>
      </c>
      <c r="E24" s="9">
        <v>1</v>
      </c>
      <c r="F24">
        <v>457.89715574024206</v>
      </c>
      <c r="G24">
        <f>mylookup4(B24,C24,D24,E24)</f>
        <v>457.897155740242</v>
      </c>
      <c r="H24">
        <f>IF(ABS(F24-G24)&lt; 0.000001,0,1)</f>
        <v>0</v>
      </c>
      <c r="N24" t="s">
        <v>0</v>
      </c>
      <c r="O24" t="s">
        <v>1</v>
      </c>
      <c r="P24" t="s">
        <v>1</v>
      </c>
      <c r="Q24">
        <v>1</v>
      </c>
      <c r="R24" s="1">
        <v>1068.9539981067799</v>
      </c>
      <c r="S24" s="1">
        <v>60653.911812046506</v>
      </c>
    </row>
    <row r="25" spans="1:19" x14ac:dyDescent="0.35">
      <c r="A25">
        <f t="shared" si="0"/>
        <v>7</v>
      </c>
      <c r="B25" s="9" t="s">
        <v>0</v>
      </c>
      <c r="C25" s="9" t="s">
        <v>0</v>
      </c>
      <c r="D25" s="9" t="s">
        <v>1</v>
      </c>
      <c r="E25" s="9">
        <v>2</v>
      </c>
      <c r="F25">
        <v>665.41974818871267</v>
      </c>
      <c r="G25">
        <f>mylookup4(B25,C25,D25,E25)</f>
        <v>665.41974818871302</v>
      </c>
      <c r="H25">
        <f>IF(ABS(F25-G25)&lt; 0.000001,0,1)</f>
        <v>0</v>
      </c>
      <c r="N25" t="s">
        <v>0</v>
      </c>
      <c r="O25" t="s">
        <v>1</v>
      </c>
      <c r="P25" t="s">
        <v>1</v>
      </c>
      <c r="Q25">
        <v>2</v>
      </c>
      <c r="R25" s="1">
        <v>1643.0837159550099</v>
      </c>
      <c r="S25" s="1">
        <v>137161.14910324372</v>
      </c>
    </row>
    <row r="26" spans="1:19" x14ac:dyDescent="0.35">
      <c r="A26">
        <f t="shared" si="0"/>
        <v>8</v>
      </c>
      <c r="B26" s="9" t="s">
        <v>0</v>
      </c>
      <c r="C26" s="9" t="s">
        <v>0</v>
      </c>
      <c r="D26" s="9" t="s">
        <v>1</v>
      </c>
      <c r="E26" s="9">
        <v>3</v>
      </c>
      <c r="F26">
        <v>732.96431435521231</v>
      </c>
      <c r="G26">
        <f>mylookup4(B26,C26,D26,E26)</f>
        <v>732.96431435521197</v>
      </c>
      <c r="H26">
        <f>IF(ABS(F26-G26)&lt; 0.000001,0,1)</f>
        <v>0</v>
      </c>
      <c r="N26" t="s">
        <v>0</v>
      </c>
      <c r="O26" t="s">
        <v>1</v>
      </c>
      <c r="P26" t="s">
        <v>1</v>
      </c>
      <c r="Q26">
        <v>3</v>
      </c>
      <c r="R26" s="1">
        <v>1756.3905837575001</v>
      </c>
      <c r="S26" s="1">
        <v>191434.0762295124</v>
      </c>
    </row>
    <row r="27" spans="1:19" x14ac:dyDescent="0.35">
      <c r="A27">
        <f t="shared" si="0"/>
        <v>9</v>
      </c>
      <c r="B27" s="9" t="s">
        <v>0</v>
      </c>
      <c r="C27" s="9" t="s">
        <v>0</v>
      </c>
      <c r="D27" s="9" t="s">
        <v>2</v>
      </c>
      <c r="E27" s="9">
        <v>0</v>
      </c>
      <c r="F27">
        <v>0</v>
      </c>
      <c r="G27">
        <f>mylookup4(B27,C27,D27,E27)</f>
        <v>0</v>
      </c>
      <c r="H27">
        <f>IF(ABS(F27-G27)&lt; 0.000001,0,1)</f>
        <v>0</v>
      </c>
      <c r="N27" t="s">
        <v>0</v>
      </c>
      <c r="O27" t="s">
        <v>1</v>
      </c>
      <c r="P27" t="s">
        <v>2</v>
      </c>
      <c r="Q27">
        <v>0</v>
      </c>
      <c r="R27" s="1">
        <v>0</v>
      </c>
      <c r="S27" s="1">
        <v>1</v>
      </c>
    </row>
    <row r="28" spans="1:19" x14ac:dyDescent="0.35">
      <c r="A28">
        <f t="shared" si="0"/>
        <v>10</v>
      </c>
      <c r="B28" s="9" t="s">
        <v>0</v>
      </c>
      <c r="C28" s="9" t="s">
        <v>0</v>
      </c>
      <c r="D28" s="9" t="s">
        <v>2</v>
      </c>
      <c r="E28" s="9">
        <v>1</v>
      </c>
      <c r="F28">
        <v>3592.9938823812686</v>
      </c>
      <c r="G28">
        <f>mylookup4(B28,C28,D28,E28)</f>
        <v>3592.9938823812699</v>
      </c>
      <c r="H28">
        <f>IF(ABS(F28-G28)&lt; 0.000001,0,1)</f>
        <v>0</v>
      </c>
      <c r="N28" t="s">
        <v>0</v>
      </c>
      <c r="O28" t="s">
        <v>1</v>
      </c>
      <c r="P28" t="s">
        <v>2</v>
      </c>
      <c r="Q28">
        <v>1</v>
      </c>
      <c r="R28" s="1">
        <v>278.06175596617612</v>
      </c>
      <c r="S28" s="1">
        <v>994545.03053114563</v>
      </c>
    </row>
    <row r="29" spans="1:19" x14ac:dyDescent="0.35">
      <c r="A29">
        <f t="shared" si="0"/>
        <v>11</v>
      </c>
      <c r="B29" s="9" t="s">
        <v>0</v>
      </c>
      <c r="C29" s="9" t="s">
        <v>0</v>
      </c>
      <c r="D29" s="9" t="s">
        <v>2</v>
      </c>
      <c r="E29" s="9">
        <v>2</v>
      </c>
      <c r="F29">
        <v>4317.4518143079749</v>
      </c>
      <c r="G29">
        <f>mylookup4(B29,C29,D29,E29)</f>
        <v>4317.4518143079704</v>
      </c>
      <c r="H29">
        <f>IF(ABS(F29-G29)&lt; 0.000001,0,1)</f>
        <v>0</v>
      </c>
      <c r="N29" t="s">
        <v>0</v>
      </c>
      <c r="O29" t="s">
        <v>1</v>
      </c>
      <c r="P29" t="s">
        <v>2</v>
      </c>
      <c r="Q29">
        <v>2</v>
      </c>
      <c r="R29" s="1">
        <v>587.95282824522997</v>
      </c>
      <c r="S29" s="1">
        <v>1127401.9652630771</v>
      </c>
    </row>
    <row r="30" spans="1:19" x14ac:dyDescent="0.35">
      <c r="A30">
        <f t="shared" si="0"/>
        <v>12</v>
      </c>
      <c r="B30" s="9" t="s">
        <v>0</v>
      </c>
      <c r="C30" s="9" t="s">
        <v>0</v>
      </c>
      <c r="D30" s="9" t="s">
        <v>2</v>
      </c>
      <c r="E30" s="9">
        <v>3</v>
      </c>
      <c r="F30">
        <v>5145.536758387444</v>
      </c>
      <c r="G30">
        <f>mylookup4(B30,C30,D30,E30)</f>
        <v>5145.5367583874404</v>
      </c>
      <c r="H30">
        <f>IF(ABS(F30-G30)&lt; 0.000001,0,1)</f>
        <v>0</v>
      </c>
      <c r="N30" t="s">
        <v>0</v>
      </c>
      <c r="O30" t="s">
        <v>1</v>
      </c>
      <c r="P30" t="s">
        <v>2</v>
      </c>
      <c r="Q30">
        <v>3</v>
      </c>
      <c r="R30" s="1">
        <v>1862.6122899355958</v>
      </c>
      <c r="S30" s="1">
        <v>1377671.0267613917</v>
      </c>
    </row>
    <row r="31" spans="1:19" x14ac:dyDescent="0.35">
      <c r="A31">
        <f t="shared" si="0"/>
        <v>13</v>
      </c>
      <c r="B31" s="9" t="s">
        <v>0</v>
      </c>
      <c r="C31" s="9" t="s">
        <v>1</v>
      </c>
      <c r="D31" s="9" t="s">
        <v>0</v>
      </c>
      <c r="E31" s="9">
        <v>0</v>
      </c>
      <c r="F31">
        <v>0</v>
      </c>
      <c r="G31">
        <f>mylookup4(B31,C31,D31,E31)</f>
        <v>0</v>
      </c>
      <c r="H31">
        <f>IF(ABS(F31-G31)&lt; 0.000001,0,1)</f>
        <v>0</v>
      </c>
      <c r="N31" t="s">
        <v>0</v>
      </c>
      <c r="O31" t="s">
        <v>2</v>
      </c>
      <c r="P31" t="s">
        <v>0</v>
      </c>
      <c r="Q31">
        <v>0</v>
      </c>
      <c r="R31" s="1">
        <v>0</v>
      </c>
      <c r="S31" s="1">
        <v>1</v>
      </c>
    </row>
    <row r="32" spans="1:19" x14ac:dyDescent="0.35">
      <c r="A32">
        <f t="shared" si="0"/>
        <v>14</v>
      </c>
      <c r="B32" s="9" t="s">
        <v>0</v>
      </c>
      <c r="C32" s="9" t="s">
        <v>1</v>
      </c>
      <c r="D32" s="9" t="s">
        <v>0</v>
      </c>
      <c r="E32" s="9">
        <v>1</v>
      </c>
      <c r="F32">
        <v>1786.3712131444156</v>
      </c>
      <c r="G32">
        <f>mylookup4(B32,C32,D32,E32)</f>
        <v>1786.3712131444199</v>
      </c>
      <c r="H32">
        <f>IF(ABS(F32-G32)&lt; 0.000001,0,1)</f>
        <v>0</v>
      </c>
      <c r="N32" t="s">
        <v>0</v>
      </c>
      <c r="O32" t="s">
        <v>2</v>
      </c>
      <c r="P32" t="s">
        <v>0</v>
      </c>
      <c r="Q32">
        <v>1</v>
      </c>
      <c r="R32" s="1">
        <v>112.88403832055414</v>
      </c>
      <c r="S32" s="1">
        <v>2753.2131779106417</v>
      </c>
    </row>
    <row r="33" spans="1:19" x14ac:dyDescent="0.35">
      <c r="A33">
        <f t="shared" si="0"/>
        <v>15</v>
      </c>
      <c r="B33" s="9" t="s">
        <v>0</v>
      </c>
      <c r="C33" s="9" t="s">
        <v>1</v>
      </c>
      <c r="D33" s="9" t="s">
        <v>0</v>
      </c>
      <c r="E33" s="9">
        <v>2</v>
      </c>
      <c r="F33">
        <v>2650.1850237489953</v>
      </c>
      <c r="G33">
        <f>mylookup4(B33,C33,D33,E33)</f>
        <v>2650.1850237489998</v>
      </c>
      <c r="H33">
        <f>IF(ABS(F33-G33)&lt; 0.000001,0,1)</f>
        <v>0</v>
      </c>
      <c r="N33" t="s">
        <v>0</v>
      </c>
      <c r="O33" t="s">
        <v>2</v>
      </c>
      <c r="P33" t="s">
        <v>0</v>
      </c>
      <c r="Q33">
        <v>2</v>
      </c>
      <c r="R33" s="1">
        <v>349.37047016031266</v>
      </c>
      <c r="S33" s="1">
        <v>3101.589411034814</v>
      </c>
    </row>
    <row r="34" spans="1:19" x14ac:dyDescent="0.35">
      <c r="A34">
        <f t="shared" si="0"/>
        <v>16</v>
      </c>
      <c r="B34" s="9" t="s">
        <v>0</v>
      </c>
      <c r="C34" s="9" t="s">
        <v>1</v>
      </c>
      <c r="D34" s="9" t="s">
        <v>0</v>
      </c>
      <c r="E34" s="9">
        <v>3</v>
      </c>
      <c r="F34">
        <v>3118.6786834445575</v>
      </c>
      <c r="G34">
        <f>mylookup4(B34,C34,D34,E34)</f>
        <v>3118.6786834445602</v>
      </c>
      <c r="H34">
        <f>IF(ABS(F34-G34)&lt; 0.000001,0,1)</f>
        <v>0</v>
      </c>
      <c r="N34" t="s">
        <v>0</v>
      </c>
      <c r="O34" t="s">
        <v>2</v>
      </c>
      <c r="P34" t="s">
        <v>0</v>
      </c>
      <c r="Q34">
        <v>3</v>
      </c>
      <c r="R34" s="1">
        <v>2378.2040176678197</v>
      </c>
      <c r="S34" s="1">
        <v>4539.3154429614697</v>
      </c>
    </row>
    <row r="35" spans="1:19" x14ac:dyDescent="0.35">
      <c r="A35">
        <f t="shared" si="0"/>
        <v>17</v>
      </c>
      <c r="B35" s="9" t="s">
        <v>0</v>
      </c>
      <c r="C35" s="9" t="s">
        <v>1</v>
      </c>
      <c r="D35" s="9" t="s">
        <v>1</v>
      </c>
      <c r="E35" s="9">
        <v>0</v>
      </c>
      <c r="F35">
        <v>0</v>
      </c>
      <c r="G35">
        <f>mylookup4(B35,C35,D35,E35)</f>
        <v>0</v>
      </c>
      <c r="H35">
        <f>IF(ABS(F35-G35)&lt; 0.000001,0,1)</f>
        <v>0</v>
      </c>
      <c r="N35" t="s">
        <v>0</v>
      </c>
      <c r="O35" t="s">
        <v>2</v>
      </c>
      <c r="P35" t="s">
        <v>1</v>
      </c>
      <c r="Q35">
        <v>0</v>
      </c>
      <c r="R35" s="1">
        <v>0</v>
      </c>
      <c r="S35" s="1">
        <v>1</v>
      </c>
    </row>
    <row r="36" spans="1:19" x14ac:dyDescent="0.35">
      <c r="A36">
        <f t="shared" si="0"/>
        <v>18</v>
      </c>
      <c r="B36" s="9" t="s">
        <v>0</v>
      </c>
      <c r="C36" s="9" t="s">
        <v>1</v>
      </c>
      <c r="D36" s="9" t="s">
        <v>1</v>
      </c>
      <c r="E36" s="9">
        <v>1</v>
      </c>
      <c r="F36">
        <v>1068.9539981067799</v>
      </c>
      <c r="G36">
        <f>mylookup4(B36,C36,D36,E36)</f>
        <v>1068.9539981067801</v>
      </c>
      <c r="H36">
        <f>IF(ABS(F36-G36)&lt; 0.000001,0,1)</f>
        <v>0</v>
      </c>
      <c r="N36" t="s">
        <v>0</v>
      </c>
      <c r="O36" t="s">
        <v>2</v>
      </c>
      <c r="P36" t="s">
        <v>1</v>
      </c>
      <c r="Q36">
        <v>1</v>
      </c>
      <c r="R36" s="1">
        <v>129.2490594466469</v>
      </c>
      <c r="S36" s="1">
        <v>492298374.75386935</v>
      </c>
    </row>
    <row r="37" spans="1:19" x14ac:dyDescent="0.35">
      <c r="A37">
        <f t="shared" si="0"/>
        <v>19</v>
      </c>
      <c r="B37" s="9" t="s">
        <v>0</v>
      </c>
      <c r="C37" s="9" t="s">
        <v>1</v>
      </c>
      <c r="D37" s="9" t="s">
        <v>1</v>
      </c>
      <c r="E37" s="9">
        <v>2</v>
      </c>
      <c r="F37">
        <v>1643.0837159550099</v>
      </c>
      <c r="G37">
        <f>mylookup4(B37,C37,D37,E37)</f>
        <v>1643.0837159550099</v>
      </c>
      <c r="H37">
        <f>IF(ABS(F37-G37)&lt; 0.000001,0,1)</f>
        <v>0</v>
      </c>
      <c r="N37" t="s">
        <v>0</v>
      </c>
      <c r="O37" t="s">
        <v>2</v>
      </c>
      <c r="P37" t="s">
        <v>1</v>
      </c>
      <c r="Q37">
        <v>2</v>
      </c>
      <c r="R37" s="1">
        <v>197.10315070279705</v>
      </c>
      <c r="S37" s="1">
        <v>497782341.92626888</v>
      </c>
    </row>
    <row r="38" spans="1:19" x14ac:dyDescent="0.35">
      <c r="A38">
        <f t="shared" si="0"/>
        <v>20</v>
      </c>
      <c r="B38" s="9" t="s">
        <v>0</v>
      </c>
      <c r="C38" s="9" t="s">
        <v>1</v>
      </c>
      <c r="D38" s="9" t="s">
        <v>1</v>
      </c>
      <c r="E38" s="9">
        <v>3</v>
      </c>
      <c r="F38">
        <v>1756.3905837575001</v>
      </c>
      <c r="G38">
        <f>mylookup4(B38,C38,D38,E38)</f>
        <v>1756.3905837575001</v>
      </c>
      <c r="H38">
        <f>IF(ABS(F38-G38)&lt; 0.000001,0,1)</f>
        <v>0</v>
      </c>
      <c r="N38" t="s">
        <v>0</v>
      </c>
      <c r="O38" t="s">
        <v>2</v>
      </c>
      <c r="P38" t="s">
        <v>1</v>
      </c>
      <c r="Q38">
        <v>3</v>
      </c>
      <c r="R38" s="1">
        <v>284.1446936821232</v>
      </c>
      <c r="S38" s="1">
        <v>697695792.001284</v>
      </c>
    </row>
    <row r="39" spans="1:19" x14ac:dyDescent="0.35">
      <c r="A39">
        <f t="shared" si="0"/>
        <v>21</v>
      </c>
      <c r="B39" s="9" t="s">
        <v>0</v>
      </c>
      <c r="C39" s="9" t="s">
        <v>1</v>
      </c>
      <c r="D39" s="9" t="s">
        <v>2</v>
      </c>
      <c r="E39" s="9">
        <v>0</v>
      </c>
      <c r="F39">
        <v>0</v>
      </c>
      <c r="G39">
        <f>mylookup4(B39,C39,D39,E39)</f>
        <v>0</v>
      </c>
      <c r="H39">
        <f>IF(ABS(F39-G39)&lt; 0.000001,0,1)</f>
        <v>0</v>
      </c>
      <c r="N39" t="s">
        <v>0</v>
      </c>
      <c r="O39" t="s">
        <v>2</v>
      </c>
      <c r="P39" t="s">
        <v>2</v>
      </c>
      <c r="Q39">
        <v>0</v>
      </c>
      <c r="R39" s="1">
        <v>0</v>
      </c>
      <c r="S39" s="1">
        <v>1</v>
      </c>
    </row>
    <row r="40" spans="1:19" x14ac:dyDescent="0.35">
      <c r="A40">
        <f t="shared" si="0"/>
        <v>22</v>
      </c>
      <c r="B40" s="9" t="s">
        <v>0</v>
      </c>
      <c r="C40" s="9" t="s">
        <v>1</v>
      </c>
      <c r="D40" s="9" t="s">
        <v>2</v>
      </c>
      <c r="E40" s="9">
        <v>1</v>
      </c>
      <c r="F40">
        <v>278.06175596617612</v>
      </c>
      <c r="G40">
        <f>mylookup4(B40,C40,D40,E40)</f>
        <v>278.06175596617601</v>
      </c>
      <c r="H40">
        <f>IF(ABS(F40-G40)&lt; 0.000001,0,1)</f>
        <v>0</v>
      </c>
      <c r="N40" t="s">
        <v>0</v>
      </c>
      <c r="O40" t="s">
        <v>2</v>
      </c>
      <c r="P40" t="s">
        <v>2</v>
      </c>
      <c r="Q40">
        <v>1</v>
      </c>
      <c r="R40" s="1">
        <v>1944.3980527740302</v>
      </c>
      <c r="S40" s="1">
        <v>31169.364696789249</v>
      </c>
    </row>
    <row r="41" spans="1:19" x14ac:dyDescent="0.35">
      <c r="A41">
        <f t="shared" si="0"/>
        <v>23</v>
      </c>
      <c r="B41" s="9" t="s">
        <v>0</v>
      </c>
      <c r="C41" s="9" t="s">
        <v>1</v>
      </c>
      <c r="D41" s="9" t="s">
        <v>2</v>
      </c>
      <c r="E41" s="9">
        <v>2</v>
      </c>
      <c r="F41">
        <v>587.95282824522997</v>
      </c>
      <c r="G41">
        <f>mylookup4(B41,C41,D41,E41)</f>
        <v>587.95282824522997</v>
      </c>
      <c r="H41">
        <f>IF(ABS(F41-G41)&lt; 0.000001,0,1)</f>
        <v>0</v>
      </c>
      <c r="N41" t="s">
        <v>0</v>
      </c>
      <c r="O41" t="s">
        <v>2</v>
      </c>
      <c r="P41" t="s">
        <v>2</v>
      </c>
      <c r="Q41">
        <v>2</v>
      </c>
      <c r="R41" s="1">
        <v>5979.9346993100335</v>
      </c>
      <c r="S41" s="1">
        <v>39786.88693888743</v>
      </c>
    </row>
    <row r="42" spans="1:19" x14ac:dyDescent="0.35">
      <c r="A42">
        <f t="shared" si="0"/>
        <v>24</v>
      </c>
      <c r="B42" s="9" t="s">
        <v>0</v>
      </c>
      <c r="C42" s="9" t="s">
        <v>1</v>
      </c>
      <c r="D42" s="9" t="s">
        <v>2</v>
      </c>
      <c r="E42" s="9">
        <v>3</v>
      </c>
      <c r="F42">
        <v>1862.6122899355958</v>
      </c>
      <c r="G42">
        <f>mylookup4(B42,C42,D42,E42)</f>
        <v>1862.6122899356001</v>
      </c>
      <c r="H42">
        <f>IF(ABS(F42-G42)&lt; 0.000001,0,1)</f>
        <v>0</v>
      </c>
      <c r="N42" t="s">
        <v>0</v>
      </c>
      <c r="O42" t="s">
        <v>2</v>
      </c>
      <c r="P42" t="s">
        <v>2</v>
      </c>
      <c r="Q42">
        <v>3</v>
      </c>
      <c r="R42" s="1">
        <v>9976.4162195488516</v>
      </c>
      <c r="S42" s="1">
        <v>42802.149821908024</v>
      </c>
    </row>
    <row r="43" spans="1:19" x14ac:dyDescent="0.35">
      <c r="A43">
        <f t="shared" si="0"/>
        <v>25</v>
      </c>
      <c r="B43" s="9" t="s">
        <v>0</v>
      </c>
      <c r="C43" s="9" t="s">
        <v>2</v>
      </c>
      <c r="D43" s="9" t="s">
        <v>0</v>
      </c>
      <c r="E43" s="9">
        <v>0</v>
      </c>
      <c r="F43">
        <v>0</v>
      </c>
      <c r="G43">
        <f>mylookup4(B43,C43,D43,E43)</f>
        <v>0</v>
      </c>
      <c r="H43">
        <f>IF(ABS(F43-G43)&lt; 0.000001,0,1)</f>
        <v>0</v>
      </c>
      <c r="N43" t="s">
        <v>1</v>
      </c>
      <c r="O43" t="s">
        <v>0</v>
      </c>
      <c r="P43" t="s">
        <v>0</v>
      </c>
      <c r="Q43">
        <v>1</v>
      </c>
      <c r="R43" s="1">
        <v>50483.727912004491</v>
      </c>
      <c r="S43" s="1">
        <v>14.645643749229539</v>
      </c>
    </row>
    <row r="44" spans="1:19" x14ac:dyDescent="0.35">
      <c r="A44">
        <f t="shared" si="0"/>
        <v>26</v>
      </c>
      <c r="B44" s="9" t="s">
        <v>0</v>
      </c>
      <c r="C44" s="9" t="s">
        <v>2</v>
      </c>
      <c r="D44" s="9" t="s">
        <v>0</v>
      </c>
      <c r="E44" s="9">
        <v>1</v>
      </c>
      <c r="F44">
        <v>112.88403832055414</v>
      </c>
      <c r="G44">
        <f>mylookup4(B44,C44,D44,E44)</f>
        <v>112.884038320554</v>
      </c>
      <c r="H44">
        <f>IF(ABS(F44-G44)&lt; 0.000001,0,1)</f>
        <v>0</v>
      </c>
      <c r="N44" t="s">
        <v>1</v>
      </c>
      <c r="O44" t="s">
        <v>0</v>
      </c>
      <c r="P44" t="s">
        <v>0</v>
      </c>
      <c r="Q44">
        <v>2</v>
      </c>
      <c r="R44" s="1">
        <v>70854.229385690473</v>
      </c>
      <c r="S44" s="1">
        <v>15.576829448940069</v>
      </c>
    </row>
    <row r="45" spans="1:19" x14ac:dyDescent="0.35">
      <c r="A45">
        <f t="shared" si="0"/>
        <v>27</v>
      </c>
      <c r="B45" s="9" t="s">
        <v>0</v>
      </c>
      <c r="C45" s="9" t="s">
        <v>2</v>
      </c>
      <c r="D45" s="9" t="s">
        <v>0</v>
      </c>
      <c r="E45" s="9">
        <v>2</v>
      </c>
      <c r="F45">
        <v>349.37047016031266</v>
      </c>
      <c r="G45">
        <f>mylookup4(B45,C45,D45,E45)</f>
        <v>349.370470160313</v>
      </c>
      <c r="H45">
        <f>IF(ABS(F45-G45)&lt; 0.000001,0,1)</f>
        <v>0</v>
      </c>
      <c r="N45" t="s">
        <v>1</v>
      </c>
      <c r="O45" t="s">
        <v>0</v>
      </c>
      <c r="P45" t="s">
        <v>0</v>
      </c>
      <c r="Q45">
        <v>3</v>
      </c>
      <c r="R45" s="1">
        <v>73692.139723088141</v>
      </c>
      <c r="S45" s="1">
        <v>16.193903967407252</v>
      </c>
    </row>
    <row r="46" spans="1:19" x14ac:dyDescent="0.35">
      <c r="A46">
        <f t="shared" si="0"/>
        <v>28</v>
      </c>
      <c r="B46" s="9" t="s">
        <v>0</v>
      </c>
      <c r="C46" s="9" t="s">
        <v>2</v>
      </c>
      <c r="D46" s="9" t="s">
        <v>0</v>
      </c>
      <c r="E46" s="9">
        <v>3</v>
      </c>
      <c r="F46">
        <v>2378.2040176678197</v>
      </c>
      <c r="G46">
        <f>mylookup4(B46,C46,D46,E46)</f>
        <v>2378.2040176678202</v>
      </c>
      <c r="H46">
        <f>IF(ABS(F46-G46)&lt; 0.000001,0,1)</f>
        <v>0</v>
      </c>
      <c r="N46" t="s">
        <v>1</v>
      </c>
      <c r="O46" t="s">
        <v>0</v>
      </c>
      <c r="P46" t="s">
        <v>1</v>
      </c>
      <c r="Q46">
        <v>0</v>
      </c>
      <c r="R46" s="1">
        <v>0</v>
      </c>
      <c r="S46" s="1">
        <v>1</v>
      </c>
    </row>
    <row r="47" spans="1:19" x14ac:dyDescent="0.35">
      <c r="A47">
        <f t="shared" si="0"/>
        <v>29</v>
      </c>
      <c r="B47" s="9" t="s">
        <v>0</v>
      </c>
      <c r="C47" s="9" t="s">
        <v>2</v>
      </c>
      <c r="D47" s="9" t="s">
        <v>1</v>
      </c>
      <c r="E47" s="9">
        <v>0</v>
      </c>
      <c r="F47">
        <v>0</v>
      </c>
      <c r="G47">
        <f>mylookup4(B47,C47,D47,E47)</f>
        <v>0</v>
      </c>
      <c r="H47">
        <f>IF(ABS(F47-G47)&lt; 0.000001,0,1)</f>
        <v>0</v>
      </c>
      <c r="N47" t="s">
        <v>1</v>
      </c>
      <c r="O47" t="s">
        <v>0</v>
      </c>
      <c r="P47" t="s">
        <v>1</v>
      </c>
      <c r="Q47">
        <v>1</v>
      </c>
      <c r="R47" s="1">
        <v>2.4807518739444765</v>
      </c>
      <c r="S47" s="1">
        <v>3238.7463303242307</v>
      </c>
    </row>
    <row r="48" spans="1:19" x14ac:dyDescent="0.35">
      <c r="A48">
        <f t="shared" si="0"/>
        <v>30</v>
      </c>
      <c r="B48" s="9" t="s">
        <v>0</v>
      </c>
      <c r="C48" s="9" t="s">
        <v>2</v>
      </c>
      <c r="D48" s="9" t="s">
        <v>1</v>
      </c>
      <c r="E48" s="9">
        <v>1</v>
      </c>
      <c r="F48">
        <v>129.2490594466469</v>
      </c>
      <c r="G48">
        <f>mylookup4(B48,C48,D48,E48)</f>
        <v>129.24905944664701</v>
      </c>
      <c r="H48">
        <f>IF(ABS(F48-G48)&lt; 0.000001,0,1)</f>
        <v>0</v>
      </c>
      <c r="N48" t="s">
        <v>1</v>
      </c>
      <c r="O48" t="s">
        <v>0</v>
      </c>
      <c r="P48" t="s">
        <v>1</v>
      </c>
      <c r="Q48">
        <v>2</v>
      </c>
      <c r="R48" s="1">
        <v>3.5399956870465266</v>
      </c>
      <c r="S48" s="1">
        <v>4959.4936497493691</v>
      </c>
    </row>
    <row r="49" spans="1:19" x14ac:dyDescent="0.35">
      <c r="A49">
        <f t="shared" si="0"/>
        <v>31</v>
      </c>
      <c r="B49" s="9" t="s">
        <v>0</v>
      </c>
      <c r="C49" s="9" t="s">
        <v>2</v>
      </c>
      <c r="D49" s="9" t="s">
        <v>1</v>
      </c>
      <c r="E49" s="9">
        <v>2</v>
      </c>
      <c r="F49">
        <v>197.10315070279705</v>
      </c>
      <c r="G49">
        <f>mylookup4(B49,C49,D49,E49)</f>
        <v>197.103150702797</v>
      </c>
      <c r="H49">
        <f>IF(ABS(F49-G49)&lt; 0.000001,0,1)</f>
        <v>0</v>
      </c>
      <c r="N49" t="s">
        <v>1</v>
      </c>
      <c r="O49" t="s">
        <v>0</v>
      </c>
      <c r="P49" t="s">
        <v>1</v>
      </c>
      <c r="Q49">
        <v>3</v>
      </c>
      <c r="R49" s="1">
        <v>5.3186917042826574</v>
      </c>
      <c r="S49" s="1">
        <v>12219.767854770258</v>
      </c>
    </row>
    <row r="50" spans="1:19" x14ac:dyDescent="0.35">
      <c r="A50">
        <f t="shared" si="0"/>
        <v>32</v>
      </c>
      <c r="B50" s="9" t="s">
        <v>0</v>
      </c>
      <c r="C50" s="9" t="s">
        <v>2</v>
      </c>
      <c r="D50" s="9" t="s">
        <v>1</v>
      </c>
      <c r="E50" s="9">
        <v>3</v>
      </c>
      <c r="F50">
        <v>284.1446936821232</v>
      </c>
      <c r="G50">
        <f>mylookup4(B50,C50,D50,E50)</f>
        <v>284.14469368212298</v>
      </c>
      <c r="H50">
        <f>IF(ABS(F50-G50)&lt; 0.000001,0,1)</f>
        <v>0</v>
      </c>
      <c r="N50" t="s">
        <v>1</v>
      </c>
      <c r="O50" t="s">
        <v>0</v>
      </c>
      <c r="P50" t="s">
        <v>2</v>
      </c>
      <c r="Q50">
        <v>0</v>
      </c>
      <c r="R50" s="1">
        <v>0</v>
      </c>
      <c r="S50" s="1">
        <v>1</v>
      </c>
    </row>
    <row r="51" spans="1:19" x14ac:dyDescent="0.35">
      <c r="A51">
        <f t="shared" si="0"/>
        <v>33</v>
      </c>
      <c r="B51" s="9" t="s">
        <v>0</v>
      </c>
      <c r="C51" s="9" t="s">
        <v>2</v>
      </c>
      <c r="D51" s="9" t="s">
        <v>2</v>
      </c>
      <c r="E51" s="9">
        <v>0</v>
      </c>
      <c r="F51">
        <v>0</v>
      </c>
      <c r="G51">
        <f>mylookup4(B51,C51,D51,E51)</f>
        <v>0</v>
      </c>
      <c r="H51">
        <f>IF(ABS(F51-G51)&lt; 0.000001,0,1)</f>
        <v>0</v>
      </c>
      <c r="N51" t="s">
        <v>1</v>
      </c>
      <c r="O51" t="s">
        <v>0</v>
      </c>
      <c r="P51" t="s">
        <v>2</v>
      </c>
      <c r="Q51">
        <v>1</v>
      </c>
      <c r="R51" s="1">
        <v>5.2610046638076966</v>
      </c>
      <c r="S51" s="1">
        <v>203650.33207131701</v>
      </c>
    </row>
    <row r="52" spans="1:19" x14ac:dyDescent="0.35">
      <c r="A52">
        <f t="shared" si="0"/>
        <v>34</v>
      </c>
      <c r="B52" s="9" t="s">
        <v>0</v>
      </c>
      <c r="C52" s="9" t="s">
        <v>2</v>
      </c>
      <c r="D52" s="9" t="s">
        <v>2</v>
      </c>
      <c r="E52" s="9">
        <v>1</v>
      </c>
      <c r="F52">
        <v>1944.3980527740302</v>
      </c>
      <c r="G52">
        <f>mylookup4(B52,C52,D52,E52)</f>
        <v>1944.39805277403</v>
      </c>
      <c r="H52">
        <f>IF(ABS(F52-G52)&lt; 0.000001,0,1)</f>
        <v>0</v>
      </c>
      <c r="N52" t="s">
        <v>1</v>
      </c>
      <c r="O52" t="s">
        <v>0</v>
      </c>
      <c r="P52" t="s">
        <v>2</v>
      </c>
      <c r="Q52">
        <v>2</v>
      </c>
      <c r="R52" s="1">
        <v>8.5030935565335444</v>
      </c>
      <c r="S52" s="1">
        <v>256067.63076211899</v>
      </c>
    </row>
    <row r="53" spans="1:19" x14ac:dyDescent="0.35">
      <c r="A53">
        <f t="shared" si="0"/>
        <v>35</v>
      </c>
      <c r="B53" s="9" t="s">
        <v>0</v>
      </c>
      <c r="C53" s="9" t="s">
        <v>2</v>
      </c>
      <c r="D53" s="9" t="s">
        <v>2</v>
      </c>
      <c r="E53" s="9">
        <v>2</v>
      </c>
      <c r="F53">
        <v>5979.9346993100335</v>
      </c>
      <c r="G53">
        <f>mylookup4(B53,C53,D53,E53)</f>
        <v>5979.9346993100298</v>
      </c>
      <c r="H53">
        <f>IF(ABS(F53-G53)&lt; 0.000001,0,1)</f>
        <v>0</v>
      </c>
      <c r="N53" t="s">
        <v>1</v>
      </c>
      <c r="O53" t="s">
        <v>0</v>
      </c>
      <c r="P53" t="s">
        <v>2</v>
      </c>
      <c r="Q53">
        <v>3</v>
      </c>
      <c r="R53" s="1">
        <v>14.203542751488309</v>
      </c>
      <c r="S53" s="1">
        <v>292241.80813188077</v>
      </c>
    </row>
    <row r="54" spans="1:19" x14ac:dyDescent="0.35">
      <c r="A54">
        <f t="shared" si="0"/>
        <v>36</v>
      </c>
      <c r="B54" s="9" t="s">
        <v>0</v>
      </c>
      <c r="C54" s="9" t="s">
        <v>2</v>
      </c>
      <c r="D54" s="9" t="s">
        <v>2</v>
      </c>
      <c r="E54" s="9">
        <v>3</v>
      </c>
      <c r="F54">
        <v>9976.4162195488516</v>
      </c>
      <c r="G54">
        <f>mylookup4(B54,C54,D54,E54)</f>
        <v>9976.4162195488498</v>
      </c>
      <c r="H54">
        <f>IF(ABS(F54-G54)&lt; 0.000001,0,1)</f>
        <v>0</v>
      </c>
      <c r="N54" t="s">
        <v>1</v>
      </c>
      <c r="O54" t="s">
        <v>1</v>
      </c>
      <c r="P54" t="s">
        <v>0</v>
      </c>
      <c r="Q54">
        <v>0</v>
      </c>
      <c r="R54" s="1">
        <v>0</v>
      </c>
      <c r="S54" s="1">
        <v>1</v>
      </c>
    </row>
    <row r="55" spans="1:19" x14ac:dyDescent="0.35">
      <c r="A55">
        <f t="shared" si="0"/>
        <v>37</v>
      </c>
      <c r="B55" s="9" t="s">
        <v>1</v>
      </c>
      <c r="C55" s="9" t="s">
        <v>0</v>
      </c>
      <c r="D55" s="9" t="s">
        <v>0</v>
      </c>
      <c r="E55" s="9">
        <v>1</v>
      </c>
      <c r="F55">
        <v>50483.727912004491</v>
      </c>
      <c r="G55">
        <f>mylookup4(B55,C55,D55,E55)</f>
        <v>50483.727912004499</v>
      </c>
      <c r="H55">
        <f>IF(ABS(F55-G55)&lt; 0.000001,0,1)</f>
        <v>0</v>
      </c>
      <c r="N55" t="s">
        <v>1</v>
      </c>
      <c r="O55" t="s">
        <v>1</v>
      </c>
      <c r="P55" t="s">
        <v>0</v>
      </c>
      <c r="Q55">
        <v>1</v>
      </c>
      <c r="R55" s="1">
        <v>371.39932612569993</v>
      </c>
      <c r="S55" s="1">
        <v>46.48373439255387</v>
      </c>
    </row>
    <row r="56" spans="1:19" x14ac:dyDescent="0.35">
      <c r="A56">
        <f t="shared" si="0"/>
        <v>38</v>
      </c>
      <c r="B56" s="9" t="s">
        <v>1</v>
      </c>
      <c r="C56" s="9" t="s">
        <v>0</v>
      </c>
      <c r="D56" s="9" t="s">
        <v>0</v>
      </c>
      <c r="E56" s="9">
        <v>2</v>
      </c>
      <c r="F56">
        <v>70854.229385690473</v>
      </c>
      <c r="G56">
        <f>mylookup4(B56,C56,D56,E56)</f>
        <v>70854.229385690502</v>
      </c>
      <c r="H56">
        <f>IF(ABS(F56-G56)&lt; 0.000001,0,1)</f>
        <v>0</v>
      </c>
      <c r="N56" t="s">
        <v>1</v>
      </c>
      <c r="O56" t="s">
        <v>1</v>
      </c>
      <c r="P56" t="s">
        <v>0</v>
      </c>
      <c r="Q56">
        <v>2</v>
      </c>
      <c r="R56" s="1">
        <v>525.19371925760788</v>
      </c>
      <c r="S56" s="1">
        <v>56.893980910799328</v>
      </c>
    </row>
    <row r="57" spans="1:19" x14ac:dyDescent="0.35">
      <c r="A57">
        <f t="shared" si="0"/>
        <v>39</v>
      </c>
      <c r="B57" s="9" t="s">
        <v>1</v>
      </c>
      <c r="C57" s="9" t="s">
        <v>0</v>
      </c>
      <c r="D57" s="9" t="s">
        <v>0</v>
      </c>
      <c r="E57" s="9">
        <v>3</v>
      </c>
      <c r="F57">
        <v>73692.139723088141</v>
      </c>
      <c r="G57">
        <f>mylookup4(B57,C57,D57,E57)</f>
        <v>73692.139723088098</v>
      </c>
      <c r="H57">
        <f>IF(ABS(F57-G57)&lt; 0.000001,0,1)</f>
        <v>0</v>
      </c>
      <c r="N57" t="s">
        <v>1</v>
      </c>
      <c r="O57" t="s">
        <v>1</v>
      </c>
      <c r="P57" t="s">
        <v>0</v>
      </c>
      <c r="Q57">
        <v>3</v>
      </c>
      <c r="R57" s="1">
        <v>621.9294586135677</v>
      </c>
      <c r="S57" s="1">
        <v>71.268761877017184</v>
      </c>
    </row>
    <row r="58" spans="1:19" x14ac:dyDescent="0.35">
      <c r="A58">
        <f t="shared" si="0"/>
        <v>40</v>
      </c>
      <c r="B58" s="9" t="s">
        <v>1</v>
      </c>
      <c r="C58" s="9" t="s">
        <v>0</v>
      </c>
      <c r="D58" s="9" t="s">
        <v>1</v>
      </c>
      <c r="E58" s="9">
        <v>0</v>
      </c>
      <c r="F58">
        <v>0</v>
      </c>
      <c r="G58">
        <f>mylookup4(B58,C58,D58,E58)</f>
        <v>0</v>
      </c>
      <c r="H58">
        <f>IF(ABS(F58-G58)&lt; 0.000001,0,1)</f>
        <v>0</v>
      </c>
      <c r="N58" t="s">
        <v>1</v>
      </c>
      <c r="O58" t="s">
        <v>1</v>
      </c>
      <c r="P58" t="s">
        <v>1</v>
      </c>
      <c r="Q58">
        <v>0</v>
      </c>
      <c r="R58" s="1">
        <v>0</v>
      </c>
      <c r="S58" s="1">
        <v>1</v>
      </c>
    </row>
    <row r="59" spans="1:19" x14ac:dyDescent="0.35">
      <c r="A59">
        <f t="shared" si="0"/>
        <v>41</v>
      </c>
      <c r="B59" s="9" t="s">
        <v>1</v>
      </c>
      <c r="C59" s="9" t="s">
        <v>0</v>
      </c>
      <c r="D59" s="9" t="s">
        <v>1</v>
      </c>
      <c r="E59" s="9">
        <v>1</v>
      </c>
      <c r="F59">
        <v>2.4807518739444765</v>
      </c>
      <c r="G59">
        <f>mylookup4(B59,C59,D59,E59)</f>
        <v>2.48075187394448</v>
      </c>
      <c r="H59">
        <f>IF(ABS(F59-G59)&lt; 0.000001,0,1)</f>
        <v>0</v>
      </c>
      <c r="N59" t="s">
        <v>1</v>
      </c>
      <c r="O59" t="s">
        <v>1</v>
      </c>
      <c r="P59" t="s">
        <v>1</v>
      </c>
      <c r="Q59">
        <v>1</v>
      </c>
      <c r="R59" s="1">
        <v>519.88799083871697</v>
      </c>
      <c r="S59" s="1">
        <v>320124.77738085127</v>
      </c>
    </row>
    <row r="60" spans="1:19" x14ac:dyDescent="0.35">
      <c r="A60">
        <f t="shared" si="0"/>
        <v>42</v>
      </c>
      <c r="B60" s="9" t="s">
        <v>1</v>
      </c>
      <c r="C60" s="9" t="s">
        <v>0</v>
      </c>
      <c r="D60" s="9" t="s">
        <v>1</v>
      </c>
      <c r="E60" s="9">
        <v>2</v>
      </c>
      <c r="F60">
        <v>3.5399956870465266</v>
      </c>
      <c r="G60">
        <f>mylookup4(B60,C60,D60,E60)</f>
        <v>3.5399956870465301</v>
      </c>
      <c r="H60">
        <f>IF(ABS(F60-G60)&lt; 0.000001,0,1)</f>
        <v>0</v>
      </c>
      <c r="N60" t="s">
        <v>1</v>
      </c>
      <c r="O60" t="s">
        <v>1</v>
      </c>
      <c r="P60" t="s">
        <v>1</v>
      </c>
      <c r="Q60">
        <v>2</v>
      </c>
      <c r="R60" s="1">
        <v>526.52405245594662</v>
      </c>
      <c r="S60" s="1">
        <v>355372.59344571125</v>
      </c>
    </row>
    <row r="61" spans="1:19" x14ac:dyDescent="0.35">
      <c r="A61">
        <f t="shared" si="0"/>
        <v>43</v>
      </c>
      <c r="B61" s="9" t="s">
        <v>1</v>
      </c>
      <c r="C61" s="9" t="s">
        <v>0</v>
      </c>
      <c r="D61" s="9" t="s">
        <v>1</v>
      </c>
      <c r="E61" s="9">
        <v>3</v>
      </c>
      <c r="F61">
        <v>5.3186917042826574</v>
      </c>
      <c r="G61">
        <f>mylookup4(B61,C61,D61,E61)</f>
        <v>5.31869170428266</v>
      </c>
      <c r="H61">
        <f>IF(ABS(F61-G61)&lt; 0.000001,0,1)</f>
        <v>0</v>
      </c>
      <c r="N61" t="s">
        <v>1</v>
      </c>
      <c r="O61" t="s">
        <v>1</v>
      </c>
      <c r="P61" t="s">
        <v>1</v>
      </c>
      <c r="Q61">
        <v>3</v>
      </c>
      <c r="R61" s="1">
        <v>618.11766001930232</v>
      </c>
      <c r="S61" s="1">
        <v>506386.85926206462</v>
      </c>
    </row>
    <row r="62" spans="1:19" x14ac:dyDescent="0.35">
      <c r="A62">
        <f t="shared" si="0"/>
        <v>44</v>
      </c>
      <c r="B62" s="9" t="s">
        <v>1</v>
      </c>
      <c r="C62" s="9" t="s">
        <v>0</v>
      </c>
      <c r="D62" s="9" t="s">
        <v>2</v>
      </c>
      <c r="E62" s="9">
        <v>0</v>
      </c>
      <c r="F62">
        <v>0</v>
      </c>
      <c r="G62">
        <f>mylookup4(B62,C62,D62,E62)</f>
        <v>0</v>
      </c>
      <c r="H62">
        <f>IF(ABS(F62-G62)&lt; 0.000001,0,1)</f>
        <v>0</v>
      </c>
      <c r="N62" t="s">
        <v>1</v>
      </c>
      <c r="O62" t="s">
        <v>1</v>
      </c>
      <c r="P62" t="s">
        <v>2</v>
      </c>
      <c r="Q62">
        <v>0</v>
      </c>
      <c r="R62" s="1">
        <v>0</v>
      </c>
      <c r="S62" s="1">
        <v>1</v>
      </c>
    </row>
    <row r="63" spans="1:19" x14ac:dyDescent="0.35">
      <c r="A63">
        <f t="shared" si="0"/>
        <v>45</v>
      </c>
      <c r="B63" s="9" t="s">
        <v>1</v>
      </c>
      <c r="C63" s="9" t="s">
        <v>0</v>
      </c>
      <c r="D63" s="9" t="s">
        <v>2</v>
      </c>
      <c r="E63" s="9">
        <v>1</v>
      </c>
      <c r="F63">
        <v>5.2610046638076966</v>
      </c>
      <c r="G63">
        <f>mylookup4(B63,C63,D63,E63)</f>
        <v>5.2610046638077002</v>
      </c>
      <c r="H63">
        <f>IF(ABS(F63-G63)&lt; 0.000001,0,1)</f>
        <v>0</v>
      </c>
      <c r="N63" t="s">
        <v>1</v>
      </c>
      <c r="O63" t="s">
        <v>1</v>
      </c>
      <c r="P63" t="s">
        <v>2</v>
      </c>
      <c r="Q63">
        <v>1</v>
      </c>
      <c r="R63" s="1">
        <v>1736.7797038684457</v>
      </c>
      <c r="S63" s="1">
        <v>12.87471229305198</v>
      </c>
    </row>
    <row r="64" spans="1:19" x14ac:dyDescent="0.35">
      <c r="A64">
        <f t="shared" si="0"/>
        <v>46</v>
      </c>
      <c r="B64" s="9" t="s">
        <v>1</v>
      </c>
      <c r="C64" s="9" t="s">
        <v>0</v>
      </c>
      <c r="D64" s="9" t="s">
        <v>2</v>
      </c>
      <c r="E64" s="9">
        <v>2</v>
      </c>
      <c r="F64">
        <v>8.5030935565335444</v>
      </c>
      <c r="G64">
        <f>mylookup4(B64,C64,D64,E64)</f>
        <v>8.5030935565335408</v>
      </c>
      <c r="H64">
        <f>IF(ABS(F64-G64)&lt; 0.000001,0,1)</f>
        <v>0</v>
      </c>
      <c r="N64" t="s">
        <v>1</v>
      </c>
      <c r="O64" t="s">
        <v>1</v>
      </c>
      <c r="P64" t="s">
        <v>2</v>
      </c>
      <c r="Q64">
        <v>2</v>
      </c>
      <c r="R64" s="1">
        <v>2347.9951809806389</v>
      </c>
      <c r="S64" s="1">
        <v>18.315298363592774</v>
      </c>
    </row>
    <row r="65" spans="1:19" x14ac:dyDescent="0.35">
      <c r="A65">
        <f t="shared" si="0"/>
        <v>47</v>
      </c>
      <c r="B65" s="9" t="s">
        <v>1</v>
      </c>
      <c r="C65" s="9" t="s">
        <v>0</v>
      </c>
      <c r="D65" s="9" t="s">
        <v>2</v>
      </c>
      <c r="E65" s="9">
        <v>3</v>
      </c>
      <c r="F65">
        <v>14.203542751488309</v>
      </c>
      <c r="G65">
        <f>mylookup4(B65,C65,D65,E65)</f>
        <v>14.2035427514883</v>
      </c>
      <c r="H65">
        <f>IF(ABS(F65-G65)&lt; 0.000001,0,1)</f>
        <v>0</v>
      </c>
      <c r="N65" t="s">
        <v>1</v>
      </c>
      <c r="O65" t="s">
        <v>1</v>
      </c>
      <c r="P65" t="s">
        <v>2</v>
      </c>
      <c r="Q65">
        <v>3</v>
      </c>
      <c r="R65" s="1">
        <v>2951.0177698249026</v>
      </c>
      <c r="S65" s="1">
        <v>30.565287266593028</v>
      </c>
    </row>
    <row r="66" spans="1:19" x14ac:dyDescent="0.35">
      <c r="A66">
        <f t="shared" si="0"/>
        <v>48</v>
      </c>
      <c r="B66" s="9" t="s">
        <v>1</v>
      </c>
      <c r="C66" s="9" t="s">
        <v>1</v>
      </c>
      <c r="D66" s="9" t="s">
        <v>0</v>
      </c>
      <c r="E66" s="9">
        <v>0</v>
      </c>
      <c r="F66">
        <v>0</v>
      </c>
      <c r="G66">
        <f>mylookup4(B66,C66,D66,E66)</f>
        <v>0</v>
      </c>
      <c r="H66">
        <f>IF(ABS(F66-G66)&lt; 0.000001,0,1)</f>
        <v>0</v>
      </c>
      <c r="N66" t="s">
        <v>1</v>
      </c>
      <c r="O66" t="s">
        <v>2</v>
      </c>
      <c r="P66" t="s">
        <v>0</v>
      </c>
      <c r="Q66">
        <v>0</v>
      </c>
      <c r="R66" s="1">
        <v>0</v>
      </c>
      <c r="S66" s="1">
        <v>1</v>
      </c>
    </row>
    <row r="67" spans="1:19" x14ac:dyDescent="0.35">
      <c r="A67">
        <f t="shared" si="0"/>
        <v>49</v>
      </c>
      <c r="B67" s="9" t="s">
        <v>1</v>
      </c>
      <c r="C67" s="9" t="s">
        <v>1</v>
      </c>
      <c r="D67" s="9" t="s">
        <v>0</v>
      </c>
      <c r="E67" s="9">
        <v>1</v>
      </c>
      <c r="F67">
        <v>371.39932612569993</v>
      </c>
      <c r="G67">
        <f>mylookup4(B67,C67,D67,E67)</f>
        <v>371.39932612569999</v>
      </c>
      <c r="H67">
        <f>IF(ABS(F67-G67)&lt; 0.000001,0,1)</f>
        <v>0</v>
      </c>
      <c r="N67" t="s">
        <v>1</v>
      </c>
      <c r="O67" t="s">
        <v>2</v>
      </c>
      <c r="P67" t="s">
        <v>0</v>
      </c>
      <c r="Q67">
        <v>1</v>
      </c>
      <c r="R67" s="1">
        <v>534.61053936190672</v>
      </c>
      <c r="S67" s="1">
        <v>818574.40221290139</v>
      </c>
    </row>
    <row r="68" spans="1:19" x14ac:dyDescent="0.35">
      <c r="A68">
        <f t="shared" si="0"/>
        <v>50</v>
      </c>
      <c r="B68" s="9" t="s">
        <v>1</v>
      </c>
      <c r="C68" s="9" t="s">
        <v>1</v>
      </c>
      <c r="D68" s="9" t="s">
        <v>0</v>
      </c>
      <c r="E68" s="9">
        <v>2</v>
      </c>
      <c r="F68">
        <v>525.19371925760788</v>
      </c>
      <c r="G68">
        <f>mylookup4(B68,C68,D68,E68)</f>
        <v>525.193719257608</v>
      </c>
      <c r="H68">
        <f>IF(ABS(F68-G68)&lt; 0.000001,0,1)</f>
        <v>0</v>
      </c>
      <c r="N68" t="s">
        <v>1</v>
      </c>
      <c r="O68" t="s">
        <v>2</v>
      </c>
      <c r="P68" t="s">
        <v>0</v>
      </c>
      <c r="Q68">
        <v>2</v>
      </c>
      <c r="R68" s="1">
        <v>535.83743552267015</v>
      </c>
      <c r="S68" s="1">
        <v>473429.77754060243</v>
      </c>
    </row>
    <row r="69" spans="1:19" x14ac:dyDescent="0.35">
      <c r="A69">
        <f t="shared" si="0"/>
        <v>51</v>
      </c>
      <c r="B69" s="9" t="s">
        <v>1</v>
      </c>
      <c r="C69" s="9" t="s">
        <v>1</v>
      </c>
      <c r="D69" s="9" t="s">
        <v>0</v>
      </c>
      <c r="E69" s="9">
        <v>3</v>
      </c>
      <c r="F69">
        <v>621.9294586135677</v>
      </c>
      <c r="G69">
        <f>mylookup4(B69,C69,D69,E69)</f>
        <v>621.92945861356804</v>
      </c>
      <c r="H69">
        <f>IF(ABS(F69-G69)&lt; 0.000001,0,1)</f>
        <v>0</v>
      </c>
      <c r="N69" t="s">
        <v>1</v>
      </c>
      <c r="O69" t="s">
        <v>2</v>
      </c>
      <c r="P69" t="s">
        <v>0</v>
      </c>
      <c r="Q69">
        <v>3</v>
      </c>
      <c r="R69" s="1">
        <v>740.44056101033595</v>
      </c>
      <c r="S69" s="1">
        <v>671275.63408292818</v>
      </c>
    </row>
    <row r="70" spans="1:19" x14ac:dyDescent="0.35">
      <c r="A70">
        <f t="shared" si="0"/>
        <v>52</v>
      </c>
      <c r="B70" s="9" t="s">
        <v>1</v>
      </c>
      <c r="C70" s="9" t="s">
        <v>1</v>
      </c>
      <c r="D70" s="9" t="s">
        <v>1</v>
      </c>
      <c r="E70" s="9">
        <v>0</v>
      </c>
      <c r="F70">
        <v>0</v>
      </c>
      <c r="G70">
        <f>mylookup4(B70,C70,D70,E70)</f>
        <v>0</v>
      </c>
      <c r="H70">
        <f>IF(ABS(F70-G70)&lt; 0.000001,0,1)</f>
        <v>0</v>
      </c>
      <c r="N70" t="s">
        <v>1</v>
      </c>
      <c r="O70" t="s">
        <v>2</v>
      </c>
      <c r="P70" t="s">
        <v>1</v>
      </c>
      <c r="Q70">
        <v>0</v>
      </c>
      <c r="R70" s="1">
        <v>0</v>
      </c>
      <c r="S70" s="1">
        <v>1</v>
      </c>
    </row>
    <row r="71" spans="1:19" x14ac:dyDescent="0.35">
      <c r="A71">
        <f t="shared" si="0"/>
        <v>53</v>
      </c>
      <c r="B71" s="9" t="s">
        <v>1</v>
      </c>
      <c r="C71" s="9" t="s">
        <v>1</v>
      </c>
      <c r="D71" s="9" t="s">
        <v>1</v>
      </c>
      <c r="E71" s="9">
        <v>1</v>
      </c>
      <c r="F71">
        <v>519.88799083871697</v>
      </c>
      <c r="G71">
        <f>mylookup4(B71,C71,D71,E71)</f>
        <v>519.88799083871697</v>
      </c>
      <c r="H71">
        <f>IF(ABS(F71-G71)&lt; 0.000001,0,1)</f>
        <v>0</v>
      </c>
      <c r="N71" t="s">
        <v>1</v>
      </c>
      <c r="O71" t="s">
        <v>2</v>
      </c>
      <c r="P71" t="s">
        <v>1</v>
      </c>
      <c r="Q71">
        <v>1</v>
      </c>
      <c r="R71" s="1">
        <v>873.90333670947098</v>
      </c>
      <c r="S71" s="1">
        <v>5.5308464608446828</v>
      </c>
    </row>
    <row r="72" spans="1:19" x14ac:dyDescent="0.35">
      <c r="A72">
        <f t="shared" si="0"/>
        <v>54</v>
      </c>
      <c r="B72" s="9" t="s">
        <v>1</v>
      </c>
      <c r="C72" s="9" t="s">
        <v>1</v>
      </c>
      <c r="D72" s="9" t="s">
        <v>1</v>
      </c>
      <c r="E72" s="9">
        <v>2</v>
      </c>
      <c r="F72">
        <v>526.52405245594662</v>
      </c>
      <c r="G72">
        <f>mylookup4(B72,C72,D72,E72)</f>
        <v>526.52405245594696</v>
      </c>
      <c r="H72">
        <f>IF(ABS(F72-G72)&lt; 0.000001,0,1)</f>
        <v>0</v>
      </c>
      <c r="N72" t="s">
        <v>1</v>
      </c>
      <c r="O72" t="s">
        <v>2</v>
      </c>
      <c r="P72" t="s">
        <v>1</v>
      </c>
      <c r="Q72">
        <v>2</v>
      </c>
      <c r="R72" s="1">
        <v>1640.7421997836814</v>
      </c>
      <c r="S72" s="1">
        <v>3.7891915013635131</v>
      </c>
    </row>
    <row r="73" spans="1:19" x14ac:dyDescent="0.35">
      <c r="A73">
        <f t="shared" si="0"/>
        <v>55</v>
      </c>
      <c r="B73" s="9" t="s">
        <v>1</v>
      </c>
      <c r="C73" s="9" t="s">
        <v>1</v>
      </c>
      <c r="D73" s="9" t="s">
        <v>1</v>
      </c>
      <c r="E73" s="9">
        <v>3</v>
      </c>
      <c r="F73">
        <v>618.11766001930232</v>
      </c>
      <c r="G73">
        <f>mylookup4(B73,C73,D73,E73)</f>
        <v>618.11766001930198</v>
      </c>
      <c r="H73">
        <f>IF(ABS(F73-G73)&lt; 0.000001,0,1)</f>
        <v>0</v>
      </c>
      <c r="N73" t="s">
        <v>1</v>
      </c>
      <c r="O73" t="s">
        <v>2</v>
      </c>
      <c r="P73" t="s">
        <v>1</v>
      </c>
      <c r="Q73">
        <v>3</v>
      </c>
      <c r="R73" s="1">
        <v>2167.1256906430149</v>
      </c>
      <c r="S73" s="1">
        <v>5.2369261422376665</v>
      </c>
    </row>
    <row r="74" spans="1:19" x14ac:dyDescent="0.35">
      <c r="A74">
        <f t="shared" si="0"/>
        <v>56</v>
      </c>
      <c r="B74" s="9" t="s">
        <v>1</v>
      </c>
      <c r="C74" s="9" t="s">
        <v>1</v>
      </c>
      <c r="D74" s="9" t="s">
        <v>2</v>
      </c>
      <c r="E74" s="9">
        <v>0</v>
      </c>
      <c r="F74">
        <v>0</v>
      </c>
      <c r="G74">
        <f>mylookup4(B74,C74,D74,E74)</f>
        <v>0</v>
      </c>
      <c r="H74">
        <f>IF(ABS(F74-G74)&lt; 0.000001,0,1)</f>
        <v>0</v>
      </c>
      <c r="N74" t="s">
        <v>1</v>
      </c>
      <c r="O74" t="s">
        <v>2</v>
      </c>
      <c r="P74" t="s">
        <v>2</v>
      </c>
      <c r="Q74">
        <v>0</v>
      </c>
      <c r="R74" s="1">
        <v>0</v>
      </c>
      <c r="S74" s="1">
        <v>1</v>
      </c>
    </row>
    <row r="75" spans="1:19" x14ac:dyDescent="0.35">
      <c r="A75">
        <f t="shared" si="0"/>
        <v>57</v>
      </c>
      <c r="B75" s="9" t="s">
        <v>1</v>
      </c>
      <c r="C75" s="9" t="s">
        <v>1</v>
      </c>
      <c r="D75" s="9" t="s">
        <v>2</v>
      </c>
      <c r="E75" s="9">
        <v>1</v>
      </c>
      <c r="F75">
        <v>1736.7797038684457</v>
      </c>
      <c r="G75">
        <f>mylookup4(B75,C75,D75,E75)</f>
        <v>1736.77970386845</v>
      </c>
      <c r="H75">
        <f>IF(ABS(F75-G75)&lt; 0.000001,0,1)</f>
        <v>0</v>
      </c>
      <c r="N75" t="s">
        <v>1</v>
      </c>
      <c r="O75" t="s">
        <v>2</v>
      </c>
      <c r="P75" t="s">
        <v>2</v>
      </c>
      <c r="Q75">
        <v>1</v>
      </c>
      <c r="R75" s="1">
        <v>4.5893843322318366</v>
      </c>
      <c r="S75" s="1">
        <v>271.32608217273702</v>
      </c>
    </row>
    <row r="76" spans="1:19" x14ac:dyDescent="0.35">
      <c r="A76">
        <f t="shared" si="0"/>
        <v>58</v>
      </c>
      <c r="B76" s="9" t="s">
        <v>1</v>
      </c>
      <c r="C76" s="9" t="s">
        <v>1</v>
      </c>
      <c r="D76" s="9" t="s">
        <v>2</v>
      </c>
      <c r="E76" s="9">
        <v>2</v>
      </c>
      <c r="F76">
        <v>2347.9951809806389</v>
      </c>
      <c r="G76">
        <f>mylookup4(B76,C76,D76,E76)</f>
        <v>2347.9951809806398</v>
      </c>
      <c r="H76">
        <f>IF(ABS(F76-G76)&lt; 0.000001,0,1)</f>
        <v>0</v>
      </c>
      <c r="N76" t="s">
        <v>1</v>
      </c>
      <c r="O76" t="s">
        <v>2</v>
      </c>
      <c r="P76" t="s">
        <v>2</v>
      </c>
      <c r="Q76">
        <v>2</v>
      </c>
      <c r="R76" s="1">
        <v>6.917525477163986</v>
      </c>
      <c r="S76" s="1">
        <v>378.73130130993701</v>
      </c>
    </row>
    <row r="77" spans="1:19" x14ac:dyDescent="0.35">
      <c r="A77">
        <f t="shared" si="0"/>
        <v>59</v>
      </c>
      <c r="B77" s="9" t="s">
        <v>1</v>
      </c>
      <c r="C77" s="9" t="s">
        <v>1</v>
      </c>
      <c r="D77" s="9" t="s">
        <v>2</v>
      </c>
      <c r="E77" s="9">
        <v>3</v>
      </c>
      <c r="F77">
        <v>2951.0177698249026</v>
      </c>
      <c r="G77">
        <f>mylookup4(B77,C77,D77,E77)</f>
        <v>2951.0177698248999</v>
      </c>
      <c r="H77">
        <f>IF(ABS(F77-G77)&lt; 0.000001,0,1)</f>
        <v>0</v>
      </c>
      <c r="N77" t="s">
        <v>1</v>
      </c>
      <c r="O77" t="s">
        <v>2</v>
      </c>
      <c r="P77" t="s">
        <v>2</v>
      </c>
      <c r="Q77">
        <v>3</v>
      </c>
      <c r="R77" s="1">
        <v>8.2619091128049185</v>
      </c>
      <c r="S77" s="1">
        <v>418.03649604351335</v>
      </c>
    </row>
    <row r="78" spans="1:19" x14ac:dyDescent="0.35">
      <c r="A78">
        <f t="shared" si="0"/>
        <v>60</v>
      </c>
      <c r="B78" s="9" t="s">
        <v>1</v>
      </c>
      <c r="C78" s="9" t="s">
        <v>2</v>
      </c>
      <c r="D78" s="9" t="s">
        <v>0</v>
      </c>
      <c r="E78" s="9">
        <v>0</v>
      </c>
      <c r="F78">
        <v>0</v>
      </c>
      <c r="G78">
        <f>mylookup4(B78,C78,D78,E78)</f>
        <v>0</v>
      </c>
      <c r="H78">
        <f>IF(ABS(F78-G78)&lt; 0.000001,0,1)</f>
        <v>0</v>
      </c>
      <c r="N78" t="s">
        <v>2</v>
      </c>
      <c r="O78" t="s">
        <v>0</v>
      </c>
      <c r="P78" t="s">
        <v>0</v>
      </c>
      <c r="Q78">
        <v>0</v>
      </c>
      <c r="R78" s="1">
        <v>0</v>
      </c>
      <c r="S78" s="1">
        <v>1</v>
      </c>
    </row>
    <row r="79" spans="1:19" x14ac:dyDescent="0.35">
      <c r="A79">
        <f t="shared" si="0"/>
        <v>61</v>
      </c>
      <c r="B79" s="9" t="s">
        <v>1</v>
      </c>
      <c r="C79" s="9" t="s">
        <v>2</v>
      </c>
      <c r="D79" s="9" t="s">
        <v>0</v>
      </c>
      <c r="E79" s="9">
        <v>1</v>
      </c>
      <c r="F79">
        <v>534.61053936190672</v>
      </c>
      <c r="G79">
        <f>mylookup4(B79,C79,D79,E79)</f>
        <v>534.61053936190694</v>
      </c>
      <c r="H79">
        <f>IF(ABS(F79-G79)&lt; 0.000001,0,1)</f>
        <v>0</v>
      </c>
      <c r="N79" t="s">
        <v>2</v>
      </c>
      <c r="O79" t="s">
        <v>0</v>
      </c>
      <c r="P79" t="s">
        <v>0</v>
      </c>
      <c r="Q79">
        <v>1</v>
      </c>
      <c r="R79" s="1">
        <v>169.76245902684471</v>
      </c>
      <c r="S79" s="1">
        <v>11026500.943488406</v>
      </c>
    </row>
    <row r="80" spans="1:19" x14ac:dyDescent="0.35">
      <c r="A80">
        <f t="shared" si="0"/>
        <v>62</v>
      </c>
      <c r="B80" s="9" t="s">
        <v>1</v>
      </c>
      <c r="C80" s="9" t="s">
        <v>2</v>
      </c>
      <c r="D80" s="9" t="s">
        <v>0</v>
      </c>
      <c r="E80" s="9">
        <v>2</v>
      </c>
      <c r="F80">
        <v>535.83743552267015</v>
      </c>
      <c r="G80">
        <f>mylookup4(B80,C80,D80,E80)</f>
        <v>535.83743552267003</v>
      </c>
      <c r="H80">
        <f>IF(ABS(F80-G80)&lt; 0.000001,0,1)</f>
        <v>0</v>
      </c>
      <c r="N80" t="s">
        <v>2</v>
      </c>
      <c r="O80" t="s">
        <v>0</v>
      </c>
      <c r="P80" t="s">
        <v>0</v>
      </c>
      <c r="Q80">
        <v>2</v>
      </c>
      <c r="R80" s="1">
        <v>260.35087688671661</v>
      </c>
      <c r="S80" s="1">
        <v>26327365.012117598</v>
      </c>
    </row>
    <row r="81" spans="1:19" x14ac:dyDescent="0.35">
      <c r="A81">
        <f t="shared" si="0"/>
        <v>63</v>
      </c>
      <c r="B81" s="9" t="s">
        <v>1</v>
      </c>
      <c r="C81" s="9" t="s">
        <v>2</v>
      </c>
      <c r="D81" s="9" t="s">
        <v>0</v>
      </c>
      <c r="E81" s="9">
        <v>3</v>
      </c>
      <c r="F81">
        <v>740.44056101033595</v>
      </c>
      <c r="G81">
        <f>mylookup4(B81,C81,D81,E81)</f>
        <v>740.44056101033595</v>
      </c>
      <c r="H81">
        <f>IF(ABS(F81-G81)&lt; 0.000001,0,1)</f>
        <v>0</v>
      </c>
      <c r="N81" t="s">
        <v>2</v>
      </c>
      <c r="O81" t="s">
        <v>0</v>
      </c>
      <c r="P81" t="s">
        <v>0</v>
      </c>
      <c r="Q81">
        <v>3</v>
      </c>
      <c r="R81" s="1">
        <v>329.02527865688</v>
      </c>
      <c r="S81" s="1">
        <v>76072677.45279552</v>
      </c>
    </row>
    <row r="82" spans="1:19" x14ac:dyDescent="0.35">
      <c r="A82">
        <f t="shared" si="0"/>
        <v>64</v>
      </c>
      <c r="B82" s="9" t="s">
        <v>1</v>
      </c>
      <c r="C82" s="9" t="s">
        <v>2</v>
      </c>
      <c r="D82" s="9" t="s">
        <v>1</v>
      </c>
      <c r="E82" s="9">
        <v>0</v>
      </c>
      <c r="F82">
        <v>0</v>
      </c>
      <c r="G82">
        <f>mylookup4(B82,C82,D82,E82)</f>
        <v>0</v>
      </c>
      <c r="H82">
        <f>IF(ABS(F82-G82)&lt; 0.000001,0,1)</f>
        <v>0</v>
      </c>
      <c r="N82" t="s">
        <v>2</v>
      </c>
      <c r="O82" t="s">
        <v>0</v>
      </c>
      <c r="P82" t="s">
        <v>1</v>
      </c>
      <c r="Q82">
        <v>0</v>
      </c>
      <c r="R82" s="1">
        <v>0</v>
      </c>
      <c r="S82" s="1">
        <v>1</v>
      </c>
    </row>
    <row r="83" spans="1:19" x14ac:dyDescent="0.35">
      <c r="A83">
        <f t="shared" si="0"/>
        <v>65</v>
      </c>
      <c r="B83" s="9" t="s">
        <v>1</v>
      </c>
      <c r="C83" s="9" t="s">
        <v>2</v>
      </c>
      <c r="D83" s="9" t="s">
        <v>1</v>
      </c>
      <c r="E83" s="9">
        <v>1</v>
      </c>
      <c r="F83">
        <v>873.90333670947098</v>
      </c>
      <c r="G83">
        <f>mylookup4(B83,C83,D83,E83)</f>
        <v>873.90333670947098</v>
      </c>
      <c r="H83">
        <f>IF(ABS(F83-G83)&lt; 0.000001,0,1)</f>
        <v>0</v>
      </c>
      <c r="N83" t="s">
        <v>2</v>
      </c>
      <c r="O83" t="s">
        <v>0</v>
      </c>
      <c r="P83" t="s">
        <v>1</v>
      </c>
      <c r="Q83">
        <v>1</v>
      </c>
      <c r="R83" s="1">
        <v>45281.487312221827</v>
      </c>
      <c r="S83" s="1">
        <v>22988818.230815407</v>
      </c>
    </row>
    <row r="84" spans="1:19" x14ac:dyDescent="0.35">
      <c r="A84">
        <f t="shared" ref="A84:A125" si="1">A83+1</f>
        <v>66</v>
      </c>
      <c r="B84" s="9" t="s">
        <v>1</v>
      </c>
      <c r="C84" s="9" t="s">
        <v>2</v>
      </c>
      <c r="D84" s="9" t="s">
        <v>1</v>
      </c>
      <c r="E84" s="9">
        <v>2</v>
      </c>
      <c r="F84">
        <v>1640.7421997836814</v>
      </c>
      <c r="G84">
        <f>mylookup4(B84,C84,D84,E84)</f>
        <v>1640.74219978368</v>
      </c>
      <c r="H84">
        <f>IF(ABS(F84-G84)&lt; 0.000001,0,1)</f>
        <v>0</v>
      </c>
      <c r="N84" t="s">
        <v>2</v>
      </c>
      <c r="O84" t="s">
        <v>0</v>
      </c>
      <c r="P84" t="s">
        <v>1</v>
      </c>
      <c r="Q84">
        <v>2</v>
      </c>
      <c r="R84" s="1">
        <v>64311.555948999267</v>
      </c>
      <c r="S84" s="1">
        <v>36179080.498874679</v>
      </c>
    </row>
    <row r="85" spans="1:19" x14ac:dyDescent="0.35">
      <c r="A85">
        <f t="shared" si="1"/>
        <v>67</v>
      </c>
      <c r="B85" s="9" t="s">
        <v>1</v>
      </c>
      <c r="C85" s="9" t="s">
        <v>2</v>
      </c>
      <c r="D85" s="9" t="s">
        <v>1</v>
      </c>
      <c r="E85" s="9">
        <v>3</v>
      </c>
      <c r="F85">
        <v>2167.1256906430149</v>
      </c>
      <c r="G85">
        <f>mylookup4(B85,C85,D85,E85)</f>
        <v>2167.1256906430099</v>
      </c>
      <c r="H85">
        <f>IF(ABS(F85-G85)&lt; 0.000001,0,1)</f>
        <v>0</v>
      </c>
      <c r="N85" t="s">
        <v>2</v>
      </c>
      <c r="O85" t="s">
        <v>0</v>
      </c>
      <c r="P85" t="s">
        <v>1</v>
      </c>
      <c r="Q85">
        <v>3</v>
      </c>
      <c r="R85" s="1">
        <v>77218.254144733932</v>
      </c>
      <c r="S85" s="1">
        <v>41616148.875773117</v>
      </c>
    </row>
    <row r="86" spans="1:19" x14ac:dyDescent="0.35">
      <c r="A86">
        <f t="shared" si="1"/>
        <v>68</v>
      </c>
      <c r="B86" s="9" t="s">
        <v>1</v>
      </c>
      <c r="C86" s="9" t="s">
        <v>2</v>
      </c>
      <c r="D86" s="9" t="s">
        <v>2</v>
      </c>
      <c r="E86" s="9">
        <v>0</v>
      </c>
      <c r="F86">
        <v>0</v>
      </c>
      <c r="G86">
        <f>mylookup4(B86,C86,D86,E86)</f>
        <v>0</v>
      </c>
      <c r="H86">
        <f>IF(ABS(F86-G86)&lt; 0.000001,0,1)</f>
        <v>0</v>
      </c>
      <c r="N86" t="s">
        <v>2</v>
      </c>
      <c r="O86" t="s">
        <v>0</v>
      </c>
      <c r="P86" t="s">
        <v>2</v>
      </c>
      <c r="Q86">
        <v>0</v>
      </c>
      <c r="R86" s="1">
        <v>0</v>
      </c>
      <c r="S86" s="1">
        <v>1</v>
      </c>
    </row>
    <row r="87" spans="1:19" x14ac:dyDescent="0.35">
      <c r="A87">
        <f t="shared" si="1"/>
        <v>69</v>
      </c>
      <c r="B87" s="9" t="s">
        <v>1</v>
      </c>
      <c r="C87" s="9" t="s">
        <v>2</v>
      </c>
      <c r="D87" s="9" t="s">
        <v>2</v>
      </c>
      <c r="E87" s="9">
        <v>1</v>
      </c>
      <c r="F87">
        <v>4.5893843322318366</v>
      </c>
      <c r="G87">
        <f>mylookup4(B87,C87,D87,E87)</f>
        <v>4.5893843322318402</v>
      </c>
      <c r="H87">
        <f>IF(ABS(F87-G87)&lt; 0.000001,0,1)</f>
        <v>0</v>
      </c>
      <c r="N87" t="s">
        <v>2</v>
      </c>
      <c r="O87" t="s">
        <v>0</v>
      </c>
      <c r="P87" t="s">
        <v>2</v>
      </c>
      <c r="Q87">
        <v>1</v>
      </c>
      <c r="R87" s="1">
        <v>357.56914715059258</v>
      </c>
      <c r="S87" s="1">
        <v>3.3623867508680561</v>
      </c>
    </row>
    <row r="88" spans="1:19" x14ac:dyDescent="0.35">
      <c r="A88">
        <f t="shared" si="1"/>
        <v>70</v>
      </c>
      <c r="B88" s="9" t="s">
        <v>1</v>
      </c>
      <c r="C88" s="9" t="s">
        <v>2</v>
      </c>
      <c r="D88" s="9" t="s">
        <v>2</v>
      </c>
      <c r="E88" s="9">
        <v>2</v>
      </c>
      <c r="F88">
        <v>6.917525477163986</v>
      </c>
      <c r="G88">
        <f>mylookup4(B88,C88,D88,E88)</f>
        <v>6.9175254771639896</v>
      </c>
      <c r="H88">
        <f>IF(ABS(F88-G88)&lt; 0.000001,0,1)</f>
        <v>0</v>
      </c>
      <c r="N88" t="s">
        <v>2</v>
      </c>
      <c r="O88" t="s">
        <v>0</v>
      </c>
      <c r="P88" t="s">
        <v>2</v>
      </c>
      <c r="Q88">
        <v>2</v>
      </c>
      <c r="R88" s="1">
        <v>4290.0529519584898</v>
      </c>
      <c r="S88" s="1">
        <v>5.3319706053934741</v>
      </c>
    </row>
    <row r="89" spans="1:19" x14ac:dyDescent="0.35">
      <c r="A89">
        <f t="shared" si="1"/>
        <v>71</v>
      </c>
      <c r="B89" s="9" t="s">
        <v>1</v>
      </c>
      <c r="C89" s="9" t="s">
        <v>2</v>
      </c>
      <c r="D89" s="9" t="s">
        <v>2</v>
      </c>
      <c r="E89" s="9">
        <v>3</v>
      </c>
      <c r="F89">
        <v>8.2619091128049185</v>
      </c>
      <c r="G89">
        <f>mylookup4(B89,C89,D89,E89)</f>
        <v>8.2619091128049202</v>
      </c>
      <c r="H89">
        <f>IF(ABS(F89-G89)&lt; 0.000001,0,1)</f>
        <v>0</v>
      </c>
      <c r="N89" t="s">
        <v>2</v>
      </c>
      <c r="O89" t="s">
        <v>0</v>
      </c>
      <c r="P89" t="s">
        <v>2</v>
      </c>
      <c r="Q89">
        <v>3</v>
      </c>
      <c r="R89" s="1">
        <v>9240.1940859427687</v>
      </c>
      <c r="S89" s="1">
        <v>6.1781690159130553</v>
      </c>
    </row>
    <row r="90" spans="1:19" x14ac:dyDescent="0.35">
      <c r="A90">
        <f t="shared" si="1"/>
        <v>72</v>
      </c>
      <c r="B90" s="9" t="s">
        <v>2</v>
      </c>
      <c r="C90" s="9" t="s">
        <v>0</v>
      </c>
      <c r="D90" s="9" t="s">
        <v>0</v>
      </c>
      <c r="E90" s="9">
        <v>0</v>
      </c>
      <c r="F90">
        <v>0</v>
      </c>
      <c r="G90">
        <f>mylookup4(B90,C90,D90,E90)</f>
        <v>0</v>
      </c>
      <c r="H90">
        <f>IF(ABS(F90-G90)&lt; 0.000001,0,1)</f>
        <v>0</v>
      </c>
      <c r="N90" t="s">
        <v>2</v>
      </c>
      <c r="O90" t="s">
        <v>1</v>
      </c>
      <c r="P90" t="s">
        <v>0</v>
      </c>
      <c r="Q90">
        <v>0</v>
      </c>
      <c r="R90" s="1">
        <v>0</v>
      </c>
      <c r="S90" s="1">
        <v>1</v>
      </c>
    </row>
    <row r="91" spans="1:19" x14ac:dyDescent="0.35">
      <c r="A91">
        <f t="shared" si="1"/>
        <v>73</v>
      </c>
      <c r="B91" s="9" t="s">
        <v>2</v>
      </c>
      <c r="C91" s="9" t="s">
        <v>0</v>
      </c>
      <c r="D91" s="9" t="s">
        <v>0</v>
      </c>
      <c r="E91" s="9">
        <v>1</v>
      </c>
      <c r="F91">
        <v>169.76245902684471</v>
      </c>
      <c r="G91">
        <f>mylookup4(B91,C91,D91,E91)</f>
        <v>169.76245902684499</v>
      </c>
      <c r="H91">
        <f>IF(ABS(F91-G91)&lt; 0.000001,0,1)</f>
        <v>0</v>
      </c>
      <c r="N91" t="s">
        <v>2</v>
      </c>
      <c r="O91" t="s">
        <v>1</v>
      </c>
      <c r="P91" t="s">
        <v>0</v>
      </c>
      <c r="Q91">
        <v>1</v>
      </c>
      <c r="R91" s="1">
        <v>4</v>
      </c>
      <c r="S91" s="1">
        <v>57787.59890564072</v>
      </c>
    </row>
    <row r="92" spans="1:19" x14ac:dyDescent="0.35">
      <c r="A92">
        <f t="shared" si="1"/>
        <v>74</v>
      </c>
      <c r="B92" s="9" t="s">
        <v>2</v>
      </c>
      <c r="C92" s="9" t="s">
        <v>0</v>
      </c>
      <c r="D92" s="9" t="s">
        <v>0</v>
      </c>
      <c r="E92" s="9">
        <v>2</v>
      </c>
      <c r="F92">
        <v>260.35087688671661</v>
      </c>
      <c r="G92">
        <f>mylookup4(B92,C92,D92,E92)</f>
        <v>260.350876886717</v>
      </c>
      <c r="H92">
        <f>IF(ABS(F92-G92)&lt; 0.000001,0,1)</f>
        <v>0</v>
      </c>
      <c r="N92" t="s">
        <v>2</v>
      </c>
      <c r="O92" t="s">
        <v>1</v>
      </c>
      <c r="P92" t="s">
        <v>0</v>
      </c>
      <c r="Q92">
        <v>2</v>
      </c>
      <c r="R92" s="1">
        <v>6.2730518734120064</v>
      </c>
      <c r="S92" s="1">
        <v>68318.461285329176</v>
      </c>
    </row>
    <row r="93" spans="1:19" x14ac:dyDescent="0.35">
      <c r="A93">
        <f t="shared" si="1"/>
        <v>75</v>
      </c>
      <c r="B93" s="9" t="s">
        <v>2</v>
      </c>
      <c r="C93" s="9" t="s">
        <v>0</v>
      </c>
      <c r="D93" s="9" t="s">
        <v>0</v>
      </c>
      <c r="E93" s="9">
        <v>3</v>
      </c>
      <c r="F93">
        <v>329.02527865688</v>
      </c>
      <c r="G93">
        <f>mylookup4(B93,C93,D93,E93)</f>
        <v>329.02527865688</v>
      </c>
      <c r="H93">
        <f>IF(ABS(F93-G93)&lt; 0.000001,0,1)</f>
        <v>0</v>
      </c>
      <c r="N93" t="s">
        <v>2</v>
      </c>
      <c r="O93" t="s">
        <v>1</v>
      </c>
      <c r="P93" t="s">
        <v>0</v>
      </c>
      <c r="Q93">
        <v>3</v>
      </c>
      <c r="R93" s="1">
        <v>8.3739497243440049</v>
      </c>
      <c r="S93" s="1">
        <v>124006.96649103881</v>
      </c>
    </row>
    <row r="94" spans="1:19" x14ac:dyDescent="0.35">
      <c r="A94">
        <f t="shared" si="1"/>
        <v>76</v>
      </c>
      <c r="B94" s="9" t="s">
        <v>2</v>
      </c>
      <c r="C94" s="9" t="s">
        <v>0</v>
      </c>
      <c r="D94" s="9" t="s">
        <v>1</v>
      </c>
      <c r="E94" s="9">
        <v>0</v>
      </c>
      <c r="F94">
        <v>0</v>
      </c>
      <c r="G94">
        <f>mylookup4(B94,C94,D94,E94)</f>
        <v>0</v>
      </c>
      <c r="H94">
        <f>IF(ABS(F94-G94)&lt; 0.000001,0,1)</f>
        <v>0</v>
      </c>
      <c r="N94" t="s">
        <v>2</v>
      </c>
      <c r="O94" t="s">
        <v>1</v>
      </c>
      <c r="P94" t="s">
        <v>1</v>
      </c>
      <c r="Q94">
        <v>0</v>
      </c>
      <c r="R94" s="1">
        <v>0</v>
      </c>
      <c r="S94" s="1">
        <v>1</v>
      </c>
    </row>
    <row r="95" spans="1:19" x14ac:dyDescent="0.35">
      <c r="A95">
        <f t="shared" si="1"/>
        <v>77</v>
      </c>
      <c r="B95" s="9" t="s">
        <v>2</v>
      </c>
      <c r="C95" s="9" t="s">
        <v>0</v>
      </c>
      <c r="D95" s="9" t="s">
        <v>1</v>
      </c>
      <c r="E95" s="9">
        <v>1</v>
      </c>
      <c r="F95">
        <v>45281.487312221827</v>
      </c>
      <c r="G95">
        <f>mylookup4(B95,C95,D95,E95)</f>
        <v>45281.487312221798</v>
      </c>
      <c r="H95">
        <f>IF(ABS(F95-G95)&lt; 0.000001,0,1)</f>
        <v>0</v>
      </c>
      <c r="N95" t="s">
        <v>2</v>
      </c>
      <c r="O95" t="s">
        <v>1</v>
      </c>
      <c r="P95" t="s">
        <v>1</v>
      </c>
      <c r="Q95">
        <v>1</v>
      </c>
      <c r="R95" s="1">
        <v>4.0790346851490904</v>
      </c>
      <c r="S95" s="1">
        <v>487.45835834889658</v>
      </c>
    </row>
    <row r="96" spans="1:19" x14ac:dyDescent="0.35">
      <c r="A96">
        <f t="shared" si="1"/>
        <v>78</v>
      </c>
      <c r="B96" s="9" t="s">
        <v>2</v>
      </c>
      <c r="C96" s="9" t="s">
        <v>0</v>
      </c>
      <c r="D96" s="9" t="s">
        <v>1</v>
      </c>
      <c r="E96" s="9">
        <v>2</v>
      </c>
      <c r="F96">
        <v>64311.555948999267</v>
      </c>
      <c r="G96">
        <f>mylookup4(B96,C96,D96,E96)</f>
        <v>64311.555948999303</v>
      </c>
      <c r="H96">
        <f>IF(ABS(F96-G96)&lt; 0.000001,0,1)</f>
        <v>0</v>
      </c>
      <c r="N96" t="s">
        <v>2</v>
      </c>
      <c r="O96" t="s">
        <v>1</v>
      </c>
      <c r="P96" t="s">
        <v>1</v>
      </c>
      <c r="Q96">
        <v>2</v>
      </c>
      <c r="R96" s="1">
        <v>7.1174884139282417</v>
      </c>
      <c r="S96" s="1">
        <v>324.55491919161261</v>
      </c>
    </row>
    <row r="97" spans="1:23" x14ac:dyDescent="0.35">
      <c r="A97">
        <f t="shared" si="1"/>
        <v>79</v>
      </c>
      <c r="B97" s="9" t="s">
        <v>2</v>
      </c>
      <c r="C97" s="9" t="s">
        <v>0</v>
      </c>
      <c r="D97" s="9" t="s">
        <v>1</v>
      </c>
      <c r="E97" s="9">
        <v>3</v>
      </c>
      <c r="F97">
        <v>77218.254144733932</v>
      </c>
      <c r="G97">
        <f>mylookup4(B97,C97,D97,E97)</f>
        <v>77218.254144733903</v>
      </c>
      <c r="H97">
        <f>IF(ABS(F97-G97)&lt; 0.000001,0,1)</f>
        <v>0</v>
      </c>
      <c r="N97" t="s">
        <v>2</v>
      </c>
      <c r="O97" t="s">
        <v>1</v>
      </c>
      <c r="P97" t="s">
        <v>1</v>
      </c>
      <c r="Q97">
        <v>3</v>
      </c>
      <c r="R97" s="1">
        <v>8.1858124681884572</v>
      </c>
      <c r="S97" s="1">
        <v>462.94208062296951</v>
      </c>
    </row>
    <row r="98" spans="1:23" x14ac:dyDescent="0.35">
      <c r="A98">
        <f t="shared" si="1"/>
        <v>80</v>
      </c>
      <c r="B98" s="9" t="s">
        <v>2</v>
      </c>
      <c r="C98" s="9" t="s">
        <v>0</v>
      </c>
      <c r="D98" s="9" t="s">
        <v>2</v>
      </c>
      <c r="E98" s="9">
        <v>0</v>
      </c>
      <c r="F98">
        <v>0</v>
      </c>
      <c r="G98">
        <f>mylookup4(B98,C98,D98,E98)</f>
        <v>0</v>
      </c>
      <c r="H98">
        <f>IF(ABS(F98-G98)&lt; 0.000001,0,1)</f>
        <v>0</v>
      </c>
      <c r="N98" t="s">
        <v>2</v>
      </c>
      <c r="O98" t="s">
        <v>1</v>
      </c>
      <c r="P98" t="s">
        <v>2</v>
      </c>
      <c r="Q98">
        <v>0</v>
      </c>
      <c r="R98" s="1">
        <v>0</v>
      </c>
      <c r="S98" s="1">
        <v>1</v>
      </c>
    </row>
    <row r="99" spans="1:23" x14ac:dyDescent="0.35">
      <c r="A99">
        <f t="shared" si="1"/>
        <v>81</v>
      </c>
      <c r="B99" s="9" t="s">
        <v>2</v>
      </c>
      <c r="C99" s="9" t="s">
        <v>0</v>
      </c>
      <c r="D99" s="9" t="s">
        <v>2</v>
      </c>
      <c r="E99" s="9">
        <v>1</v>
      </c>
      <c r="F99">
        <v>357.56914715059258</v>
      </c>
      <c r="G99">
        <f>mylookup4(B99,C99,D99,E99)</f>
        <v>357.56914715059298</v>
      </c>
      <c r="H99">
        <f>IF(ABS(F99-G99)&lt; 0.000001,0,1)</f>
        <v>0</v>
      </c>
      <c r="N99" t="s">
        <v>2</v>
      </c>
      <c r="O99" t="s">
        <v>1</v>
      </c>
      <c r="P99" t="s">
        <v>2</v>
      </c>
      <c r="Q99">
        <v>1</v>
      </c>
      <c r="R99" s="1">
        <v>11.919228224531595</v>
      </c>
      <c r="S99" s="1">
        <v>51.552067368712819</v>
      </c>
      <c r="W99" s="6"/>
    </row>
    <row r="100" spans="1:23" x14ac:dyDescent="0.35">
      <c r="A100">
        <f t="shared" si="1"/>
        <v>82</v>
      </c>
      <c r="B100" s="9" t="s">
        <v>2</v>
      </c>
      <c r="C100" s="9" t="s">
        <v>0</v>
      </c>
      <c r="D100" s="9" t="s">
        <v>2</v>
      </c>
      <c r="E100" s="9">
        <v>2</v>
      </c>
      <c r="F100">
        <v>4290.0529519584898</v>
      </c>
      <c r="G100">
        <f>mylookup4(B100,C100,D100,E100)</f>
        <v>4290.0529519584898</v>
      </c>
      <c r="H100">
        <f>IF(ABS(F100-G100)&lt; 0.000001,0,1)</f>
        <v>0</v>
      </c>
      <c r="N100" t="s">
        <v>2</v>
      </c>
      <c r="O100" t="s">
        <v>1</v>
      </c>
      <c r="P100" t="s">
        <v>2</v>
      </c>
      <c r="Q100">
        <v>2</v>
      </c>
      <c r="R100" s="1">
        <v>61.639136806336744</v>
      </c>
      <c r="S100" s="1">
        <v>32.79178065103477</v>
      </c>
    </row>
    <row r="101" spans="1:23" x14ac:dyDescent="0.35">
      <c r="A101">
        <f t="shared" si="1"/>
        <v>83</v>
      </c>
      <c r="B101" s="9" t="s">
        <v>2</v>
      </c>
      <c r="C101" s="9" t="s">
        <v>0</v>
      </c>
      <c r="D101" s="9" t="s">
        <v>2</v>
      </c>
      <c r="E101" s="9">
        <v>3</v>
      </c>
      <c r="F101">
        <v>9240.1940859427687</v>
      </c>
      <c r="G101">
        <f>mylookup4(B101,C101,D101,E101)</f>
        <v>9240.1940859427705</v>
      </c>
      <c r="H101">
        <f>IF(ABS(F101-G101)&lt; 0.000001,0,1)</f>
        <v>0</v>
      </c>
      <c r="N101" t="s">
        <v>2</v>
      </c>
      <c r="O101" t="s">
        <v>1</v>
      </c>
      <c r="P101" t="s">
        <v>2</v>
      </c>
      <c r="Q101">
        <v>3</v>
      </c>
      <c r="R101" s="1">
        <v>106.06842050306169</v>
      </c>
      <c r="S101" s="1">
        <v>44.226401038674453</v>
      </c>
    </row>
    <row r="102" spans="1:23" x14ac:dyDescent="0.35">
      <c r="A102">
        <f t="shared" si="1"/>
        <v>84</v>
      </c>
      <c r="B102" s="9" t="s">
        <v>2</v>
      </c>
      <c r="C102" s="9" t="s">
        <v>1</v>
      </c>
      <c r="D102" s="9" t="s">
        <v>0</v>
      </c>
      <c r="E102" s="9">
        <v>0</v>
      </c>
      <c r="F102">
        <v>0</v>
      </c>
      <c r="G102">
        <f>mylookup4(B102,C102,D102,E102)</f>
        <v>0</v>
      </c>
      <c r="H102">
        <f>IF(ABS(F102-G102)&lt; 0.000001,0,1)</f>
        <v>0</v>
      </c>
      <c r="N102" t="s">
        <v>2</v>
      </c>
      <c r="O102" t="s">
        <v>2</v>
      </c>
      <c r="P102" t="s">
        <v>0</v>
      </c>
      <c r="Q102">
        <v>0</v>
      </c>
      <c r="R102" s="1">
        <v>0</v>
      </c>
      <c r="S102" s="1">
        <v>1</v>
      </c>
    </row>
    <row r="103" spans="1:23" x14ac:dyDescent="0.35">
      <c r="A103">
        <f t="shared" si="1"/>
        <v>85</v>
      </c>
      <c r="B103" s="9" t="s">
        <v>2</v>
      </c>
      <c r="C103" s="9" t="s">
        <v>1</v>
      </c>
      <c r="D103" s="9" t="s">
        <v>0</v>
      </c>
      <c r="E103" s="9">
        <v>1</v>
      </c>
      <c r="F103">
        <v>4</v>
      </c>
      <c r="G103">
        <f>mylookup4(B103,C103,D103,E103)</f>
        <v>4</v>
      </c>
      <c r="H103">
        <f>IF(ABS(F103-G103)&lt; 0.000001,0,1)</f>
        <v>0</v>
      </c>
      <c r="N103" t="s">
        <v>2</v>
      </c>
      <c r="O103" t="s">
        <v>2</v>
      </c>
      <c r="P103" t="s">
        <v>0</v>
      </c>
      <c r="Q103">
        <v>1</v>
      </c>
      <c r="R103" s="1">
        <v>1.4749847974150934</v>
      </c>
      <c r="S103" s="1">
        <v>52266617.048029259</v>
      </c>
    </row>
    <row r="104" spans="1:23" x14ac:dyDescent="0.35">
      <c r="A104">
        <f t="shared" si="1"/>
        <v>86</v>
      </c>
      <c r="B104" s="9" t="s">
        <v>2</v>
      </c>
      <c r="C104" s="9" t="s">
        <v>1</v>
      </c>
      <c r="D104" s="9" t="s">
        <v>0</v>
      </c>
      <c r="E104" s="9">
        <v>2</v>
      </c>
      <c r="F104">
        <v>6.2730518734120064</v>
      </c>
      <c r="G104">
        <f>mylookup4(B104,C104,D104,E104)</f>
        <v>6.27305187341201</v>
      </c>
      <c r="H104">
        <f>IF(ABS(F104-G104)&lt; 0.000001,0,1)</f>
        <v>0</v>
      </c>
      <c r="N104" t="s">
        <v>2</v>
      </c>
      <c r="O104" t="s">
        <v>2</v>
      </c>
      <c r="P104" t="s">
        <v>0</v>
      </c>
      <c r="Q104">
        <v>2</v>
      </c>
      <c r="R104" s="1">
        <v>2.7870405957017863</v>
      </c>
      <c r="S104" s="1">
        <v>67229039.851606011</v>
      </c>
    </row>
    <row r="105" spans="1:23" x14ac:dyDescent="0.35">
      <c r="A105">
        <f t="shared" si="1"/>
        <v>87</v>
      </c>
      <c r="B105" s="9" t="s">
        <v>2</v>
      </c>
      <c r="C105" s="9" t="s">
        <v>1</v>
      </c>
      <c r="D105" s="9" t="s">
        <v>0</v>
      </c>
      <c r="E105" s="9">
        <v>3</v>
      </c>
      <c r="F105">
        <v>8.3739497243440049</v>
      </c>
      <c r="G105">
        <f>mylookup4(B105,C105,D105,E105)</f>
        <v>8.3739497243439995</v>
      </c>
      <c r="H105">
        <f>IF(ABS(F105-G105)&lt; 0.000001,0,1)</f>
        <v>0</v>
      </c>
      <c r="N105" t="s">
        <v>2</v>
      </c>
      <c r="O105" t="s">
        <v>2</v>
      </c>
      <c r="P105" t="s">
        <v>0</v>
      </c>
      <c r="Q105">
        <v>3</v>
      </c>
      <c r="R105" s="1">
        <v>4.760842733190545</v>
      </c>
      <c r="S105" s="1">
        <v>84505017.868354648</v>
      </c>
    </row>
    <row r="106" spans="1:23" x14ac:dyDescent="0.35">
      <c r="A106">
        <f t="shared" si="1"/>
        <v>88</v>
      </c>
      <c r="B106" s="9" t="s">
        <v>2</v>
      </c>
      <c r="C106" s="9" t="s">
        <v>1</v>
      </c>
      <c r="D106" s="9" t="s">
        <v>1</v>
      </c>
      <c r="E106" s="9">
        <v>0</v>
      </c>
      <c r="F106">
        <v>0</v>
      </c>
      <c r="G106">
        <f>mylookup4(B106,C106,D106,E106)</f>
        <v>0</v>
      </c>
      <c r="H106">
        <f>IF(ABS(F106-G106)&lt; 0.000001,0,1)</f>
        <v>0</v>
      </c>
      <c r="N106" t="s">
        <v>2</v>
      </c>
      <c r="O106" t="s">
        <v>2</v>
      </c>
      <c r="P106" t="s">
        <v>1</v>
      </c>
      <c r="Q106">
        <v>0</v>
      </c>
      <c r="R106" s="1">
        <v>0</v>
      </c>
      <c r="S106" s="1">
        <v>1</v>
      </c>
    </row>
    <row r="107" spans="1:23" x14ac:dyDescent="0.35">
      <c r="A107">
        <f t="shared" si="1"/>
        <v>89</v>
      </c>
      <c r="B107" s="9" t="s">
        <v>2</v>
      </c>
      <c r="C107" s="9" t="s">
        <v>1</v>
      </c>
      <c r="D107" s="9" t="s">
        <v>1</v>
      </c>
      <c r="E107" s="9">
        <v>1</v>
      </c>
      <c r="F107">
        <v>4.0790346851490904</v>
      </c>
      <c r="G107">
        <f>mylookup4(B107,C107,D107,E107)</f>
        <v>4.0790346851490904</v>
      </c>
      <c r="H107">
        <f>IF(ABS(F107-G107)&lt; 0.000001,0,1)</f>
        <v>0</v>
      </c>
      <c r="N107" t="s">
        <v>2</v>
      </c>
      <c r="O107" t="s">
        <v>2</v>
      </c>
      <c r="P107" t="s">
        <v>1</v>
      </c>
      <c r="Q107">
        <v>1</v>
      </c>
      <c r="R107" s="1">
        <v>4.049184828269901</v>
      </c>
      <c r="S107" s="1">
        <v>452073673.79274911</v>
      </c>
    </row>
    <row r="108" spans="1:23" x14ac:dyDescent="0.35">
      <c r="A108">
        <f t="shared" si="1"/>
        <v>90</v>
      </c>
      <c r="B108" s="9" t="s">
        <v>2</v>
      </c>
      <c r="C108" s="9" t="s">
        <v>1</v>
      </c>
      <c r="D108" s="9" t="s">
        <v>1</v>
      </c>
      <c r="E108" s="9">
        <v>2</v>
      </c>
      <c r="F108">
        <v>7.1174884139282417</v>
      </c>
      <c r="G108">
        <f>mylookup4(B108,C108,D108,E108)</f>
        <v>7.1174884139282399</v>
      </c>
      <c r="H108">
        <f>IF(ABS(F108-G108)&lt; 0.000001,0,1)</f>
        <v>0</v>
      </c>
      <c r="N108" t="s">
        <v>2</v>
      </c>
      <c r="O108" t="s">
        <v>2</v>
      </c>
      <c r="P108" t="s">
        <v>1</v>
      </c>
      <c r="Q108">
        <v>2</v>
      </c>
      <c r="R108" s="1">
        <v>6.0945909160417031</v>
      </c>
      <c r="S108" s="1">
        <v>470325176.57976329</v>
      </c>
    </row>
    <row r="109" spans="1:23" x14ac:dyDescent="0.35">
      <c r="A109">
        <f t="shared" si="1"/>
        <v>91</v>
      </c>
      <c r="B109" s="9" t="s">
        <v>2</v>
      </c>
      <c r="C109" s="9" t="s">
        <v>1</v>
      </c>
      <c r="D109" s="9" t="s">
        <v>1</v>
      </c>
      <c r="E109" s="9">
        <v>3</v>
      </c>
      <c r="F109">
        <v>8.1858124681884572</v>
      </c>
      <c r="G109">
        <f>mylookup4(B109,C109,D109,E109)</f>
        <v>8.1858124681884608</v>
      </c>
      <c r="H109">
        <f>IF(ABS(F109-G109)&lt; 0.000001,0,1)</f>
        <v>0</v>
      </c>
      <c r="N109" t="s">
        <v>2</v>
      </c>
      <c r="O109" t="s">
        <v>2</v>
      </c>
      <c r="P109" t="s">
        <v>1</v>
      </c>
      <c r="Q109">
        <v>3</v>
      </c>
      <c r="R109" s="1">
        <v>9</v>
      </c>
      <c r="S109" s="1">
        <v>508133821.4006716</v>
      </c>
    </row>
    <row r="110" spans="1:23" x14ac:dyDescent="0.35">
      <c r="A110">
        <f t="shared" si="1"/>
        <v>92</v>
      </c>
      <c r="B110" s="9" t="s">
        <v>2</v>
      </c>
      <c r="C110" s="9" t="s">
        <v>1</v>
      </c>
      <c r="D110" s="9" t="s">
        <v>2</v>
      </c>
      <c r="E110" s="9">
        <v>0</v>
      </c>
      <c r="F110">
        <v>0</v>
      </c>
      <c r="G110">
        <f>mylookup4(B110,C110,D110,E110)</f>
        <v>0</v>
      </c>
      <c r="H110">
        <f>IF(ABS(F110-G110)&lt; 0.000001,0,1)</f>
        <v>0</v>
      </c>
      <c r="N110" t="s">
        <v>2</v>
      </c>
      <c r="O110" t="s">
        <v>2</v>
      </c>
      <c r="P110" t="s">
        <v>2</v>
      </c>
      <c r="Q110">
        <v>0</v>
      </c>
      <c r="R110" s="1">
        <v>0</v>
      </c>
      <c r="S110" s="1">
        <v>1</v>
      </c>
    </row>
    <row r="111" spans="1:23" x14ac:dyDescent="0.35">
      <c r="A111">
        <f t="shared" si="1"/>
        <v>93</v>
      </c>
      <c r="B111" s="9" t="s">
        <v>2</v>
      </c>
      <c r="C111" s="9" t="s">
        <v>1</v>
      </c>
      <c r="D111" s="9" t="s">
        <v>2</v>
      </c>
      <c r="E111" s="9">
        <v>1</v>
      </c>
      <c r="F111">
        <v>11.919228224531595</v>
      </c>
      <c r="G111">
        <f>mylookup4(B111,C111,D111,E111)</f>
        <v>11.919228224531601</v>
      </c>
      <c r="H111">
        <f>IF(ABS(F111-G111)&lt; 0.000001,0,1)</f>
        <v>0</v>
      </c>
      <c r="N111" t="s">
        <v>2</v>
      </c>
      <c r="O111" t="s">
        <v>2</v>
      </c>
      <c r="P111" t="s">
        <v>2</v>
      </c>
      <c r="Q111">
        <v>1</v>
      </c>
      <c r="R111" s="1">
        <v>1757.0229844103737</v>
      </c>
      <c r="S111" s="1">
        <v>291.25214247518284</v>
      </c>
    </row>
    <row r="112" spans="1:23" x14ac:dyDescent="0.35">
      <c r="A112">
        <f t="shared" si="1"/>
        <v>94</v>
      </c>
      <c r="B112" s="9" t="s">
        <v>2</v>
      </c>
      <c r="C112" s="9" t="s">
        <v>1</v>
      </c>
      <c r="D112" s="9" t="s">
        <v>2</v>
      </c>
      <c r="E112" s="9">
        <v>2</v>
      </c>
      <c r="F112">
        <v>61.639136806336744</v>
      </c>
      <c r="G112">
        <f>mylookup4(B112,C112,D112,E112)</f>
        <v>61.639136806336701</v>
      </c>
      <c r="H112">
        <f>IF(ABS(F112-G112)&lt; 0.000001,0,1)</f>
        <v>0</v>
      </c>
      <c r="N112" t="s">
        <v>2</v>
      </c>
      <c r="O112" t="s">
        <v>2</v>
      </c>
      <c r="P112" t="s">
        <v>2</v>
      </c>
      <c r="Q112">
        <v>2</v>
      </c>
      <c r="R112" s="1">
        <v>2466.7467772957793</v>
      </c>
      <c r="S112" s="1">
        <v>339.64087400512534</v>
      </c>
    </row>
    <row r="113" spans="1:19" x14ac:dyDescent="0.35">
      <c r="A113">
        <f t="shared" si="1"/>
        <v>95</v>
      </c>
      <c r="B113" s="9" t="s">
        <v>2</v>
      </c>
      <c r="C113" s="9" t="s">
        <v>1</v>
      </c>
      <c r="D113" s="9" t="s">
        <v>2</v>
      </c>
      <c r="E113" s="9">
        <v>3</v>
      </c>
      <c r="F113">
        <v>106.06842050306169</v>
      </c>
      <c r="G113">
        <f>mylookup4(B113,C113,D113,E113)</f>
        <v>106.068420503062</v>
      </c>
      <c r="H113">
        <f>IF(ABS(F113-G113)&lt; 0.000001,0,1)</f>
        <v>0</v>
      </c>
      <c r="N113" t="s">
        <v>2</v>
      </c>
      <c r="O113" t="s">
        <v>2</v>
      </c>
      <c r="P113" t="s">
        <v>2</v>
      </c>
      <c r="Q113">
        <v>3</v>
      </c>
      <c r="R113" s="1">
        <v>4688.6956993980075</v>
      </c>
      <c r="S113" s="1">
        <v>342.0241096241877</v>
      </c>
    </row>
    <row r="114" spans="1:19" x14ac:dyDescent="0.35">
      <c r="A114">
        <f t="shared" si="1"/>
        <v>96</v>
      </c>
      <c r="B114" s="9" t="s">
        <v>2</v>
      </c>
      <c r="C114" s="9" t="s">
        <v>2</v>
      </c>
      <c r="D114" s="9" t="s">
        <v>0</v>
      </c>
      <c r="E114" s="9">
        <v>0</v>
      </c>
      <c r="F114">
        <v>0</v>
      </c>
      <c r="G114">
        <f>mylookup4(B114,C114,D114,E114)</f>
        <v>0</v>
      </c>
      <c r="H114">
        <f>IF(ABS(F114-G114)&lt; 0.000001,0,1)</f>
        <v>0</v>
      </c>
    </row>
    <row r="115" spans="1:19" x14ac:dyDescent="0.35">
      <c r="A115">
        <f t="shared" si="1"/>
        <v>97</v>
      </c>
      <c r="B115" s="9" t="s">
        <v>2</v>
      </c>
      <c r="C115" s="9" t="s">
        <v>2</v>
      </c>
      <c r="D115" s="9" t="s">
        <v>0</v>
      </c>
      <c r="E115" s="9">
        <v>1</v>
      </c>
      <c r="F115">
        <v>1.4749847974150934</v>
      </c>
      <c r="G115">
        <f>mylookup4(B115,C115,D115,E115)</f>
        <v>1.47498479741509</v>
      </c>
      <c r="H115">
        <f>IF(ABS(F115-G115)&lt; 0.000001,0,1)</f>
        <v>0</v>
      </c>
    </row>
    <row r="116" spans="1:19" x14ac:dyDescent="0.35">
      <c r="A116">
        <f t="shared" si="1"/>
        <v>98</v>
      </c>
      <c r="B116" s="9" t="s">
        <v>2</v>
      </c>
      <c r="C116" s="9" t="s">
        <v>2</v>
      </c>
      <c r="D116" s="9" t="s">
        <v>0</v>
      </c>
      <c r="E116" s="9">
        <v>2</v>
      </c>
      <c r="F116">
        <v>2.7870405957017863</v>
      </c>
      <c r="G116">
        <f>mylookup4(B116,C116,D116,E116)</f>
        <v>2.7870405957017899</v>
      </c>
      <c r="H116">
        <f>IF(ABS(F116-G116)&lt; 0.000001,0,1)</f>
        <v>0</v>
      </c>
    </row>
    <row r="117" spans="1:19" x14ac:dyDescent="0.35">
      <c r="A117">
        <f t="shared" si="1"/>
        <v>99</v>
      </c>
      <c r="B117" s="9" t="s">
        <v>2</v>
      </c>
      <c r="C117" s="9" t="s">
        <v>2</v>
      </c>
      <c r="D117" s="9" t="s">
        <v>0</v>
      </c>
      <c r="E117" s="9">
        <v>3</v>
      </c>
      <c r="F117">
        <v>4.760842733190545</v>
      </c>
      <c r="G117">
        <f>mylookup4(B117,C117,D117,E117)</f>
        <v>4.7608427331905396</v>
      </c>
      <c r="H117">
        <f>IF(ABS(F117-G117)&lt; 0.000001,0,1)</f>
        <v>0</v>
      </c>
    </row>
    <row r="118" spans="1:19" x14ac:dyDescent="0.35">
      <c r="A118">
        <f t="shared" si="1"/>
        <v>100</v>
      </c>
      <c r="B118" s="9" t="s">
        <v>2</v>
      </c>
      <c r="C118" s="9" t="s">
        <v>2</v>
      </c>
      <c r="D118" s="9" t="s">
        <v>1</v>
      </c>
      <c r="E118" s="9">
        <v>0</v>
      </c>
      <c r="F118">
        <v>0</v>
      </c>
      <c r="G118">
        <f>mylookup4(B118,C118,D118,E118)</f>
        <v>0</v>
      </c>
      <c r="H118">
        <f>IF(ABS(F118-G118)&lt; 0.000001,0,1)</f>
        <v>0</v>
      </c>
    </row>
    <row r="119" spans="1:19" x14ac:dyDescent="0.35">
      <c r="A119">
        <f t="shared" si="1"/>
        <v>101</v>
      </c>
      <c r="B119" s="9" t="s">
        <v>2</v>
      </c>
      <c r="C119" s="9" t="s">
        <v>2</v>
      </c>
      <c r="D119" s="9" t="s">
        <v>1</v>
      </c>
      <c r="E119" s="9">
        <v>1</v>
      </c>
      <c r="F119">
        <v>4.049184828269901</v>
      </c>
      <c r="G119">
        <f>mylookup4(B119,C119,D119,E119)</f>
        <v>4.0491848282699001</v>
      </c>
      <c r="H119">
        <f>IF(ABS(F119-G119)&lt; 0.000001,0,1)</f>
        <v>0</v>
      </c>
    </row>
    <row r="120" spans="1:19" x14ac:dyDescent="0.35">
      <c r="A120">
        <f t="shared" si="1"/>
        <v>102</v>
      </c>
      <c r="B120" s="9" t="s">
        <v>2</v>
      </c>
      <c r="C120" s="9" t="s">
        <v>2</v>
      </c>
      <c r="D120" s="9" t="s">
        <v>1</v>
      </c>
      <c r="E120" s="9">
        <v>2</v>
      </c>
      <c r="F120">
        <v>6.0945909160417031</v>
      </c>
      <c r="G120">
        <f>mylookup4(B120,C120,D120,E120)</f>
        <v>6.0945909160416996</v>
      </c>
      <c r="H120">
        <f>IF(ABS(F120-G120)&lt; 0.000001,0,1)</f>
        <v>0</v>
      </c>
    </row>
    <row r="121" spans="1:19" x14ac:dyDescent="0.35">
      <c r="A121">
        <f t="shared" si="1"/>
        <v>103</v>
      </c>
      <c r="B121" s="9" t="s">
        <v>2</v>
      </c>
      <c r="C121" s="9" t="s">
        <v>2</v>
      </c>
      <c r="D121" s="9" t="s">
        <v>1</v>
      </c>
      <c r="E121" s="9">
        <v>3</v>
      </c>
      <c r="F121">
        <v>9</v>
      </c>
      <c r="G121">
        <f>mylookup4(B121,C121,D121,E121)</f>
        <v>9</v>
      </c>
      <c r="H121">
        <f>IF(ABS(F121-G121)&lt; 0.000001,0,1)</f>
        <v>0</v>
      </c>
    </row>
    <row r="122" spans="1:19" x14ac:dyDescent="0.35">
      <c r="A122">
        <f t="shared" si="1"/>
        <v>104</v>
      </c>
      <c r="B122" s="9" t="s">
        <v>2</v>
      </c>
      <c r="C122" s="9" t="s">
        <v>2</v>
      </c>
      <c r="D122" s="9" t="s">
        <v>2</v>
      </c>
      <c r="E122" s="9">
        <v>0</v>
      </c>
      <c r="F122">
        <v>0</v>
      </c>
      <c r="G122">
        <f>mylookup4(B122,C122,D122,E122)</f>
        <v>0</v>
      </c>
      <c r="H122">
        <f>IF(ABS(F122-G122)&lt; 0.000001,0,1)</f>
        <v>0</v>
      </c>
    </row>
    <row r="123" spans="1:19" x14ac:dyDescent="0.35">
      <c r="A123">
        <f t="shared" si="1"/>
        <v>105</v>
      </c>
      <c r="B123" s="9" t="s">
        <v>2</v>
      </c>
      <c r="C123" s="9" t="s">
        <v>2</v>
      </c>
      <c r="D123" s="9" t="s">
        <v>2</v>
      </c>
      <c r="E123" s="9">
        <v>1</v>
      </c>
      <c r="F123">
        <v>1757.0229844103737</v>
      </c>
      <c r="G123">
        <f>mylookup4(B123,C123,D123,E123)</f>
        <v>1757.0229844103701</v>
      </c>
      <c r="H123">
        <f>IF(ABS(F123-G123)&lt; 0.000001,0,1)</f>
        <v>0</v>
      </c>
    </row>
    <row r="124" spans="1:19" x14ac:dyDescent="0.35">
      <c r="A124">
        <f t="shared" si="1"/>
        <v>106</v>
      </c>
      <c r="B124" s="9" t="s">
        <v>2</v>
      </c>
      <c r="C124" s="9" t="s">
        <v>2</v>
      </c>
      <c r="D124" s="9" t="s">
        <v>2</v>
      </c>
      <c r="E124" s="9">
        <v>2</v>
      </c>
      <c r="F124">
        <v>2466.7467772957793</v>
      </c>
      <c r="G124">
        <f>mylookup4(B124,C124,D124,E124)</f>
        <v>2466.7467772957798</v>
      </c>
      <c r="H124">
        <f>IF(ABS(F124-G124)&lt; 0.000001,0,1)</f>
        <v>0</v>
      </c>
    </row>
    <row r="125" spans="1:19" x14ac:dyDescent="0.35">
      <c r="A125">
        <f t="shared" si="1"/>
        <v>107</v>
      </c>
      <c r="B125" s="9" t="s">
        <v>2</v>
      </c>
      <c r="C125" s="9" t="s">
        <v>2</v>
      </c>
      <c r="D125" s="9" t="s">
        <v>2</v>
      </c>
      <c r="E125" s="9">
        <v>3</v>
      </c>
      <c r="F125">
        <v>4688.6956993980075</v>
      </c>
      <c r="G125">
        <f>mylookup4(B125,C125,D125,E125)</f>
        <v>4688.6956993980102</v>
      </c>
      <c r="H125">
        <f>IF(ABS(F125-G125)&lt; 0.000001,0,1)</f>
        <v>0</v>
      </c>
    </row>
  </sheetData>
  <mergeCells count="1">
    <mergeCell ref="B17:E17"/>
  </mergeCells>
  <pageMargins left="0.7" right="0.7" top="0.75" bottom="0.75" header="0.3" footer="0.3"/>
  <pageSetup orientation="portrait" r:id="rId1"/>
  <tableParts count="1">
    <tablePart r:id="rId2"/>
  </tablePart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E5E2C9-4D75-4270-B9AB-4138794708A0}">
  <sheetPr codeName="Sheet17"/>
  <dimension ref="A1:Y127"/>
  <sheetViews>
    <sheetView topLeftCell="A4" workbookViewId="0">
      <selection activeCell="J13" sqref="J13"/>
    </sheetView>
  </sheetViews>
  <sheetFormatPr defaultRowHeight="14.5" x14ac:dyDescent="0.35"/>
  <cols>
    <col min="20" max="20" width="10.453125" customWidth="1"/>
    <col min="21" max="22" width="14.453125" bestFit="1" customWidth="1"/>
    <col min="23" max="27" width="14.453125" customWidth="1"/>
    <col min="28" max="28" width="11" bestFit="1" customWidth="1"/>
  </cols>
  <sheetData>
    <row r="1" spans="1:21" hidden="1" x14ac:dyDescent="0.35">
      <c r="A1" t="s">
        <v>80</v>
      </c>
    </row>
    <row r="2" spans="1:21" hidden="1" x14ac:dyDescent="0.35">
      <c r="A2" t="s">
        <v>80</v>
      </c>
    </row>
    <row r="3" spans="1:21" hidden="1" x14ac:dyDescent="0.35">
      <c r="A3" t="s">
        <v>80</v>
      </c>
    </row>
    <row r="4" spans="1:21" x14ac:dyDescent="0.35">
      <c r="A4" s="5" t="s">
        <v>266</v>
      </c>
      <c r="N4" t="s">
        <v>153</v>
      </c>
    </row>
    <row r="5" spans="1:21" x14ac:dyDescent="0.35">
      <c r="A5" t="s">
        <v>155</v>
      </c>
      <c r="N5" t="s">
        <v>152</v>
      </c>
      <c r="P5" t="s">
        <v>11</v>
      </c>
      <c r="Q5" t="s">
        <v>12</v>
      </c>
      <c r="R5" t="s">
        <v>13</v>
      </c>
      <c r="S5" t="s">
        <v>5</v>
      </c>
      <c r="T5" t="s">
        <v>4</v>
      </c>
      <c r="U5" t="s">
        <v>3</v>
      </c>
    </row>
    <row r="6" spans="1:21" x14ac:dyDescent="0.35">
      <c r="A6" t="s">
        <v>156</v>
      </c>
      <c r="N6" t="str">
        <f>_xlfn.CONCAT(P6:S6)</f>
        <v>aaa0</v>
      </c>
      <c r="P6" t="s">
        <v>0</v>
      </c>
      <c r="Q6" t="s">
        <v>0</v>
      </c>
      <c r="R6" t="s">
        <v>0</v>
      </c>
      <c r="S6">
        <v>0</v>
      </c>
      <c r="T6" s="1">
        <v>0</v>
      </c>
      <c r="U6" s="1">
        <v>1</v>
      </c>
    </row>
    <row r="7" spans="1:21" x14ac:dyDescent="0.35">
      <c r="A7" t="s">
        <v>267</v>
      </c>
      <c r="N7" t="str">
        <f>_xlfn.CONCAT(P7:S7)</f>
        <v>aaa1</v>
      </c>
      <c r="P7" t="s">
        <v>0</v>
      </c>
      <c r="Q7" t="s">
        <v>0</v>
      </c>
      <c r="R7" t="s">
        <v>0</v>
      </c>
      <c r="S7">
        <v>1</v>
      </c>
      <c r="T7" s="1">
        <v>1.5261890228122563</v>
      </c>
      <c r="U7" s="1">
        <v>546318.83737814485</v>
      </c>
    </row>
    <row r="8" spans="1:21" x14ac:dyDescent="0.35">
      <c r="A8" t="s">
        <v>268</v>
      </c>
      <c r="N8" t="str">
        <f>_xlfn.CONCAT(P8:S8)</f>
        <v>aaa2</v>
      </c>
      <c r="P8" t="s">
        <v>0</v>
      </c>
      <c r="Q8" t="s">
        <v>0</v>
      </c>
      <c r="R8" t="s">
        <v>0</v>
      </c>
      <c r="S8">
        <v>2</v>
      </c>
      <c r="T8" s="1">
        <v>3</v>
      </c>
      <c r="U8" s="1">
        <v>1037307.0567016189</v>
      </c>
    </row>
    <row r="9" spans="1:21" x14ac:dyDescent="0.35">
      <c r="A9" t="s">
        <v>269</v>
      </c>
      <c r="N9" t="str">
        <f>_xlfn.CONCAT(P9:S9)</f>
        <v>aaa3</v>
      </c>
      <c r="P9" t="s">
        <v>0</v>
      </c>
      <c r="Q9" t="s">
        <v>0</v>
      </c>
      <c r="R9" t="s">
        <v>0</v>
      </c>
      <c r="S9">
        <v>3</v>
      </c>
      <c r="T9" s="1">
        <v>6.5255204875320274</v>
      </c>
      <c r="U9" s="1">
        <v>1299951.4226145379</v>
      </c>
    </row>
    <row r="10" spans="1:21" x14ac:dyDescent="0.35">
      <c r="N10" t="str">
        <f>_xlfn.CONCAT(P10:S10)</f>
        <v>aab0</v>
      </c>
      <c r="P10" t="s">
        <v>0</v>
      </c>
      <c r="Q10" t="s">
        <v>0</v>
      </c>
      <c r="R10" t="s">
        <v>1</v>
      </c>
      <c r="S10">
        <v>0</v>
      </c>
      <c r="T10" s="1">
        <v>0</v>
      </c>
      <c r="U10" s="1">
        <v>1</v>
      </c>
    </row>
    <row r="11" spans="1:21" x14ac:dyDescent="0.35">
      <c r="A11" t="s">
        <v>264</v>
      </c>
      <c r="N11" t="str">
        <f>_xlfn.CONCAT(P11:S11)</f>
        <v>aab1</v>
      </c>
      <c r="P11" t="s">
        <v>0</v>
      </c>
      <c r="Q11" t="s">
        <v>0</v>
      </c>
      <c r="R11" t="s">
        <v>1</v>
      </c>
      <c r="S11">
        <v>1</v>
      </c>
      <c r="T11" s="1">
        <v>457.89715574024206</v>
      </c>
      <c r="U11" s="1">
        <v>6800948.9139359165</v>
      </c>
    </row>
    <row r="12" spans="1:21" x14ac:dyDescent="0.35">
      <c r="A12" t="s">
        <v>265</v>
      </c>
      <c r="N12" t="str">
        <f>_xlfn.CONCAT(P12:S12)</f>
        <v>aab2</v>
      </c>
      <c r="P12" t="s">
        <v>0</v>
      </c>
      <c r="Q12" t="s">
        <v>0</v>
      </c>
      <c r="R12" t="s">
        <v>1</v>
      </c>
      <c r="S12">
        <v>2</v>
      </c>
      <c r="T12" s="1">
        <v>665.41974818871267</v>
      </c>
      <c r="U12" s="1">
        <v>30577029.059039161</v>
      </c>
    </row>
    <row r="13" spans="1:21" x14ac:dyDescent="0.35">
      <c r="N13" t="str">
        <f>_xlfn.CONCAT(P13:S13)</f>
        <v>aab3</v>
      </c>
      <c r="P13" t="s">
        <v>0</v>
      </c>
      <c r="Q13" t="s">
        <v>0</v>
      </c>
      <c r="R13" t="s">
        <v>1</v>
      </c>
      <c r="S13">
        <v>3</v>
      </c>
      <c r="T13" s="1">
        <v>732.96431435521231</v>
      </c>
      <c r="U13" s="1">
        <v>64587928.142886072</v>
      </c>
    </row>
    <row r="14" spans="1:21" x14ac:dyDescent="0.35">
      <c r="N14" t="str">
        <f>_xlfn.CONCAT(P14:S14)</f>
        <v>aac0</v>
      </c>
      <c r="P14" t="s">
        <v>0</v>
      </c>
      <c r="Q14" t="s">
        <v>0</v>
      </c>
      <c r="R14" t="s">
        <v>2</v>
      </c>
      <c r="S14">
        <v>0</v>
      </c>
      <c r="T14" s="1">
        <v>0</v>
      </c>
      <c r="U14" s="1">
        <v>1</v>
      </c>
    </row>
    <row r="15" spans="1:21" x14ac:dyDescent="0.35">
      <c r="A15" t="s">
        <v>18</v>
      </c>
      <c r="B15" s="10" t="s">
        <v>154</v>
      </c>
      <c r="N15" t="str">
        <f>_xlfn.CONCAT(P15:S15)</f>
        <v>aac1</v>
      </c>
      <c r="P15" t="s">
        <v>0</v>
      </c>
      <c r="Q15" t="s">
        <v>0</v>
      </c>
      <c r="R15" t="s">
        <v>2</v>
      </c>
      <c r="S15">
        <v>1</v>
      </c>
      <c r="T15" s="1">
        <v>3592.9938823812686</v>
      </c>
      <c r="U15" s="1">
        <v>36462125.075147875</v>
      </c>
    </row>
    <row r="16" spans="1:21" x14ac:dyDescent="0.35">
      <c r="C16" t="s">
        <v>153</v>
      </c>
      <c r="N16" t="str">
        <f>_xlfn.CONCAT(P16:S16)</f>
        <v>aac2</v>
      </c>
      <c r="P16" t="s">
        <v>0</v>
      </c>
      <c r="Q16" t="s">
        <v>0</v>
      </c>
      <c r="R16" t="s">
        <v>2</v>
      </c>
      <c r="S16">
        <v>2</v>
      </c>
      <c r="T16" s="1">
        <v>4317.4518143079749</v>
      </c>
      <c r="U16" s="1">
        <v>48438287.635287218</v>
      </c>
    </row>
    <row r="17" spans="1:21" x14ac:dyDescent="0.35">
      <c r="A17" t="s">
        <v>263</v>
      </c>
      <c r="B17" s="22">
        <f>LOOKUP(B15,N6:N112,MyTestTableD[lookup])</f>
        <v>587.95282824522997</v>
      </c>
      <c r="N17" t="str">
        <f>_xlfn.CONCAT(P17:S17)</f>
        <v>aac3</v>
      </c>
      <c r="P17" t="s">
        <v>0</v>
      </c>
      <c r="Q17" t="s">
        <v>0</v>
      </c>
      <c r="R17" t="s">
        <v>2</v>
      </c>
      <c r="S17">
        <v>3</v>
      </c>
      <c r="T17" s="1">
        <v>5145.536758387444</v>
      </c>
      <c r="U17" s="1">
        <v>53042320.468393937</v>
      </c>
    </row>
    <row r="18" spans="1:21" x14ac:dyDescent="0.35">
      <c r="N18" t="str">
        <f>_xlfn.CONCAT(P18:S18)</f>
        <v>aba0</v>
      </c>
      <c r="P18" t="s">
        <v>0</v>
      </c>
      <c r="Q18" t="s">
        <v>1</v>
      </c>
      <c r="R18" t="s">
        <v>0</v>
      </c>
      <c r="S18">
        <v>0</v>
      </c>
      <c r="T18" s="1">
        <v>0</v>
      </c>
      <c r="U18" s="1">
        <v>0.1</v>
      </c>
    </row>
    <row r="19" spans="1:21" x14ac:dyDescent="0.35">
      <c r="B19" s="7" t="s">
        <v>75</v>
      </c>
      <c r="C19" s="7" t="s">
        <v>76</v>
      </c>
      <c r="D19" s="7" t="s">
        <v>77</v>
      </c>
      <c r="E19" s="7" t="s">
        <v>78</v>
      </c>
      <c r="N19" t="str">
        <f>_xlfn.CONCAT(P19:S19)</f>
        <v>aba1</v>
      </c>
      <c r="P19" t="s">
        <v>0</v>
      </c>
      <c r="Q19" t="s">
        <v>1</v>
      </c>
      <c r="R19" t="s">
        <v>0</v>
      </c>
      <c r="S19">
        <v>1</v>
      </c>
      <c r="T19" s="1">
        <v>1786.3712131444156</v>
      </c>
      <c r="U19" s="1">
        <v>0.22712616889310794</v>
      </c>
    </row>
    <row r="20" spans="1:21" x14ac:dyDescent="0.35">
      <c r="B20" t="s">
        <v>18</v>
      </c>
      <c r="C20" t="s">
        <v>263</v>
      </c>
      <c r="D20" t="s">
        <v>263</v>
      </c>
      <c r="E20" t="s">
        <v>263</v>
      </c>
      <c r="G20" t="s">
        <v>79</v>
      </c>
      <c r="H20">
        <f>SUM(E21:E127)</f>
        <v>0</v>
      </c>
      <c r="N20" t="str">
        <f>_xlfn.CONCAT(P20:S20)</f>
        <v>aba2</v>
      </c>
      <c r="P20" t="s">
        <v>0</v>
      </c>
      <c r="Q20" t="s">
        <v>1</v>
      </c>
      <c r="R20" t="s">
        <v>0</v>
      </c>
      <c r="S20">
        <v>2</v>
      </c>
      <c r="T20" s="1">
        <v>2650.1850237489953</v>
      </c>
      <c r="U20" s="1">
        <v>0.37457202935904388</v>
      </c>
    </row>
    <row r="21" spans="1:21" x14ac:dyDescent="0.35">
      <c r="B21" s="9" t="s">
        <v>157</v>
      </c>
      <c r="C21">
        <v>0</v>
      </c>
      <c r="D21">
        <f>squishedLookup(B21)</f>
        <v>0</v>
      </c>
      <c r="E21">
        <f>IF(ABS(C21-D21)&lt; 0.000001,0,1)</f>
        <v>0</v>
      </c>
      <c r="N21" t="str">
        <f>_xlfn.CONCAT(P21:S21)</f>
        <v>aba3</v>
      </c>
      <c r="P21" t="s">
        <v>0</v>
      </c>
      <c r="Q21" t="s">
        <v>1</v>
      </c>
      <c r="R21" t="s">
        <v>0</v>
      </c>
      <c r="S21">
        <v>3</v>
      </c>
      <c r="T21" s="1">
        <v>3118.6786834445575</v>
      </c>
      <c r="U21" s="1">
        <v>0.758624074119986</v>
      </c>
    </row>
    <row r="22" spans="1:21" x14ac:dyDescent="0.35">
      <c r="B22" s="9" t="s">
        <v>158</v>
      </c>
      <c r="C22">
        <v>1.5261890228122563</v>
      </c>
      <c r="D22">
        <f>squishedLookup(B22)</f>
        <v>1.5261890228122601</v>
      </c>
      <c r="E22">
        <f>IF(ABS(C22-D22)&lt; 0.000001,0,1)</f>
        <v>0</v>
      </c>
      <c r="N22" t="str">
        <f>_xlfn.CONCAT(P22:S22)</f>
        <v>abb0</v>
      </c>
      <c r="P22" t="s">
        <v>0</v>
      </c>
      <c r="Q22" t="s">
        <v>1</v>
      </c>
      <c r="R22" t="s">
        <v>1</v>
      </c>
      <c r="S22">
        <v>0</v>
      </c>
      <c r="T22" s="1">
        <v>0</v>
      </c>
      <c r="U22" s="1">
        <v>1</v>
      </c>
    </row>
    <row r="23" spans="1:21" x14ac:dyDescent="0.35">
      <c r="B23" s="9" t="s">
        <v>159</v>
      </c>
      <c r="C23">
        <v>3</v>
      </c>
      <c r="D23">
        <f>squishedLookup(B23)</f>
        <v>3</v>
      </c>
      <c r="E23">
        <f>IF(ABS(C23-D23)&lt; 0.000001,0,1)</f>
        <v>0</v>
      </c>
      <c r="N23" t="str">
        <f>_xlfn.CONCAT(P23:S23)</f>
        <v>abb1</v>
      </c>
      <c r="P23" t="s">
        <v>0</v>
      </c>
      <c r="Q23" t="s">
        <v>1</v>
      </c>
      <c r="R23" t="s">
        <v>1</v>
      </c>
      <c r="S23">
        <v>1</v>
      </c>
      <c r="T23" s="1">
        <v>1068.9539981067799</v>
      </c>
      <c r="U23" s="1">
        <v>60653.911812046506</v>
      </c>
    </row>
    <row r="24" spans="1:21" x14ac:dyDescent="0.35">
      <c r="B24" s="9" t="s">
        <v>160</v>
      </c>
      <c r="C24">
        <v>6.5255204875320274</v>
      </c>
      <c r="D24">
        <f>squishedLookup(B24)</f>
        <v>6.5255204875320301</v>
      </c>
      <c r="E24">
        <f>IF(ABS(C24-D24)&lt; 0.000001,0,1)</f>
        <v>0</v>
      </c>
      <c r="N24" t="str">
        <f>_xlfn.CONCAT(P24:S24)</f>
        <v>abb2</v>
      </c>
      <c r="P24" t="s">
        <v>0</v>
      </c>
      <c r="Q24" t="s">
        <v>1</v>
      </c>
      <c r="R24" t="s">
        <v>1</v>
      </c>
      <c r="S24">
        <v>2</v>
      </c>
      <c r="T24" s="1">
        <v>1643.0837159550099</v>
      </c>
      <c r="U24" s="1">
        <v>137161.14910324372</v>
      </c>
    </row>
    <row r="25" spans="1:21" x14ac:dyDescent="0.35">
      <c r="B25" s="9" t="s">
        <v>161</v>
      </c>
      <c r="C25">
        <v>0</v>
      </c>
      <c r="D25">
        <f>squishedLookup(B25)</f>
        <v>0</v>
      </c>
      <c r="E25">
        <f>IF(ABS(C25-D25)&lt; 0.000001,0,1)</f>
        <v>0</v>
      </c>
      <c r="N25" t="str">
        <f>_xlfn.CONCAT(P25:S25)</f>
        <v>abb3</v>
      </c>
      <c r="P25" t="s">
        <v>0</v>
      </c>
      <c r="Q25" t="s">
        <v>1</v>
      </c>
      <c r="R25" t="s">
        <v>1</v>
      </c>
      <c r="S25">
        <v>3</v>
      </c>
      <c r="T25" s="1">
        <v>1756.3905837575001</v>
      </c>
      <c r="U25" s="1">
        <v>191434.0762295124</v>
      </c>
    </row>
    <row r="26" spans="1:21" x14ac:dyDescent="0.35">
      <c r="B26" s="9" t="s">
        <v>162</v>
      </c>
      <c r="C26">
        <v>457.89715574024206</v>
      </c>
      <c r="D26">
        <f>squishedLookup(B26)</f>
        <v>457.897155740242</v>
      </c>
      <c r="E26">
        <f>IF(ABS(C26-D26)&lt; 0.000001,0,1)</f>
        <v>0</v>
      </c>
      <c r="N26" t="str">
        <f>_xlfn.CONCAT(P26:S26)</f>
        <v>abc0</v>
      </c>
      <c r="P26" t="s">
        <v>0</v>
      </c>
      <c r="Q26" t="s">
        <v>1</v>
      </c>
      <c r="R26" t="s">
        <v>2</v>
      </c>
      <c r="S26">
        <v>0</v>
      </c>
      <c r="T26" s="1">
        <v>0</v>
      </c>
      <c r="U26" s="1">
        <v>1</v>
      </c>
    </row>
    <row r="27" spans="1:21" x14ac:dyDescent="0.35">
      <c r="B27" s="9" t="s">
        <v>163</v>
      </c>
      <c r="C27">
        <v>665.41974818871267</v>
      </c>
      <c r="D27">
        <f>squishedLookup(B27)</f>
        <v>665.41974818871302</v>
      </c>
      <c r="E27">
        <f>IF(ABS(C27-D27)&lt; 0.000001,0,1)</f>
        <v>0</v>
      </c>
      <c r="N27" t="str">
        <f>_xlfn.CONCAT(P27:S27)</f>
        <v>abc1</v>
      </c>
      <c r="P27" t="s">
        <v>0</v>
      </c>
      <c r="Q27" t="s">
        <v>1</v>
      </c>
      <c r="R27" t="s">
        <v>2</v>
      </c>
      <c r="S27">
        <v>1</v>
      </c>
      <c r="T27" s="1">
        <v>278.06175596617612</v>
      </c>
      <c r="U27" s="1">
        <v>994545.03053114563</v>
      </c>
    </row>
    <row r="28" spans="1:21" x14ac:dyDescent="0.35">
      <c r="B28" s="9" t="s">
        <v>164</v>
      </c>
      <c r="C28">
        <v>732.96431435521231</v>
      </c>
      <c r="D28">
        <f>squishedLookup(B28)</f>
        <v>732.96431435521197</v>
      </c>
      <c r="E28">
        <f>IF(ABS(C28-D28)&lt; 0.000001,0,1)</f>
        <v>0</v>
      </c>
      <c r="N28" t="str">
        <f>_xlfn.CONCAT(P28:S28)</f>
        <v>abc2</v>
      </c>
      <c r="P28" t="s">
        <v>0</v>
      </c>
      <c r="Q28" t="s">
        <v>1</v>
      </c>
      <c r="R28" t="s">
        <v>2</v>
      </c>
      <c r="S28">
        <v>2</v>
      </c>
      <c r="T28" s="1">
        <v>587.95282824522997</v>
      </c>
      <c r="U28" s="1">
        <v>1127401.9652630771</v>
      </c>
    </row>
    <row r="29" spans="1:21" x14ac:dyDescent="0.35">
      <c r="B29" s="9" t="s">
        <v>165</v>
      </c>
      <c r="C29">
        <v>0</v>
      </c>
      <c r="D29">
        <f>squishedLookup(B29)</f>
        <v>0</v>
      </c>
      <c r="E29">
        <f>IF(ABS(C29-D29)&lt; 0.000001,0,1)</f>
        <v>0</v>
      </c>
      <c r="N29" t="str">
        <f>_xlfn.CONCAT(P29:S29)</f>
        <v>abc3</v>
      </c>
      <c r="P29" t="s">
        <v>0</v>
      </c>
      <c r="Q29" t="s">
        <v>1</v>
      </c>
      <c r="R29" t="s">
        <v>2</v>
      </c>
      <c r="S29">
        <v>3</v>
      </c>
      <c r="T29" s="1">
        <v>1862.6122899355958</v>
      </c>
      <c r="U29" s="1">
        <v>1377671.0267613917</v>
      </c>
    </row>
    <row r="30" spans="1:21" x14ac:dyDescent="0.35">
      <c r="B30" s="9" t="s">
        <v>166</v>
      </c>
      <c r="C30">
        <v>3592.9938823812686</v>
      </c>
      <c r="D30">
        <f>squishedLookup(B30)</f>
        <v>3592.9938823812699</v>
      </c>
      <c r="E30">
        <f>IF(ABS(C30-D30)&lt; 0.000001,0,1)</f>
        <v>0</v>
      </c>
      <c r="N30" t="str">
        <f>_xlfn.CONCAT(P30:S30)</f>
        <v>aca0</v>
      </c>
      <c r="P30" t="s">
        <v>0</v>
      </c>
      <c r="Q30" t="s">
        <v>2</v>
      </c>
      <c r="R30" t="s">
        <v>0</v>
      </c>
      <c r="S30">
        <v>0</v>
      </c>
      <c r="T30" s="1">
        <v>0</v>
      </c>
      <c r="U30" s="1">
        <v>1</v>
      </c>
    </row>
    <row r="31" spans="1:21" x14ac:dyDescent="0.35">
      <c r="B31" s="9" t="s">
        <v>167</v>
      </c>
      <c r="C31">
        <v>4317.4518143079749</v>
      </c>
      <c r="D31">
        <f>squishedLookup(B31)</f>
        <v>4317.4518143079704</v>
      </c>
      <c r="E31">
        <f>IF(ABS(C31-D31)&lt; 0.000001,0,1)</f>
        <v>0</v>
      </c>
      <c r="N31" t="str">
        <f>_xlfn.CONCAT(P31:S31)</f>
        <v>aca1</v>
      </c>
      <c r="P31" t="s">
        <v>0</v>
      </c>
      <c r="Q31" t="s">
        <v>2</v>
      </c>
      <c r="R31" t="s">
        <v>0</v>
      </c>
      <c r="S31">
        <v>1</v>
      </c>
      <c r="T31" s="1">
        <v>112.88403832055414</v>
      </c>
      <c r="U31" s="1">
        <v>2753.2131779106417</v>
      </c>
    </row>
    <row r="32" spans="1:21" x14ac:dyDescent="0.35">
      <c r="B32" s="9" t="s">
        <v>168</v>
      </c>
      <c r="C32">
        <v>5145.536758387444</v>
      </c>
      <c r="D32">
        <f>squishedLookup(B32)</f>
        <v>5145.5367583874404</v>
      </c>
      <c r="E32">
        <f>IF(ABS(C32-D32)&lt; 0.000001,0,1)</f>
        <v>0</v>
      </c>
      <c r="N32" t="str">
        <f>_xlfn.CONCAT(P32:S32)</f>
        <v>aca2</v>
      </c>
      <c r="P32" t="s">
        <v>0</v>
      </c>
      <c r="Q32" t="s">
        <v>2</v>
      </c>
      <c r="R32" t="s">
        <v>0</v>
      </c>
      <c r="S32">
        <v>2</v>
      </c>
      <c r="T32" s="1">
        <v>349.37047016031266</v>
      </c>
      <c r="U32" s="1">
        <v>3101.589411034814</v>
      </c>
    </row>
    <row r="33" spans="2:21" x14ac:dyDescent="0.35">
      <c r="B33" s="9" t="s">
        <v>169</v>
      </c>
      <c r="C33">
        <v>0</v>
      </c>
      <c r="D33">
        <f>squishedLookup(B33)</f>
        <v>0</v>
      </c>
      <c r="E33">
        <f>IF(ABS(C33-D33)&lt; 0.000001,0,1)</f>
        <v>0</v>
      </c>
      <c r="N33" t="str">
        <f>_xlfn.CONCAT(P33:S33)</f>
        <v>aca3</v>
      </c>
      <c r="P33" t="s">
        <v>0</v>
      </c>
      <c r="Q33" t="s">
        <v>2</v>
      </c>
      <c r="R33" t="s">
        <v>0</v>
      </c>
      <c r="S33">
        <v>3</v>
      </c>
      <c r="T33" s="1">
        <v>2378.2040176678197</v>
      </c>
      <c r="U33" s="1">
        <v>4539.3154429614697</v>
      </c>
    </row>
    <row r="34" spans="2:21" x14ac:dyDescent="0.35">
      <c r="B34" s="9" t="s">
        <v>170</v>
      </c>
      <c r="C34">
        <v>1786.3712131444156</v>
      </c>
      <c r="D34">
        <f>squishedLookup(B34)</f>
        <v>1786.3712131444199</v>
      </c>
      <c r="E34">
        <f>IF(ABS(C34-D34)&lt; 0.000001,0,1)</f>
        <v>0</v>
      </c>
      <c r="N34" t="str">
        <f>_xlfn.CONCAT(P34:S34)</f>
        <v>acb0</v>
      </c>
      <c r="P34" t="s">
        <v>0</v>
      </c>
      <c r="Q34" t="s">
        <v>2</v>
      </c>
      <c r="R34" t="s">
        <v>1</v>
      </c>
      <c r="S34">
        <v>0</v>
      </c>
      <c r="T34" s="1">
        <v>0</v>
      </c>
      <c r="U34" s="1">
        <v>1</v>
      </c>
    </row>
    <row r="35" spans="2:21" x14ac:dyDescent="0.35">
      <c r="B35" s="9" t="s">
        <v>171</v>
      </c>
      <c r="C35">
        <v>2650.1850237489953</v>
      </c>
      <c r="D35">
        <f>squishedLookup(B35)</f>
        <v>2650.1850237489998</v>
      </c>
      <c r="E35">
        <f>IF(ABS(C35-D35)&lt; 0.000001,0,1)</f>
        <v>0</v>
      </c>
      <c r="N35" t="str">
        <f>_xlfn.CONCAT(P35:S35)</f>
        <v>acb1</v>
      </c>
      <c r="P35" t="s">
        <v>0</v>
      </c>
      <c r="Q35" t="s">
        <v>2</v>
      </c>
      <c r="R35" t="s">
        <v>1</v>
      </c>
      <c r="S35">
        <v>1</v>
      </c>
      <c r="T35" s="1">
        <v>129.2490594466469</v>
      </c>
      <c r="U35" s="1">
        <v>492298374.75386935</v>
      </c>
    </row>
    <row r="36" spans="2:21" x14ac:dyDescent="0.35">
      <c r="B36" s="9" t="s">
        <v>172</v>
      </c>
      <c r="C36">
        <v>3118.6786834445575</v>
      </c>
      <c r="D36">
        <f>squishedLookup(B36)</f>
        <v>3118.6786834445602</v>
      </c>
      <c r="E36">
        <f>IF(ABS(C36-D36)&lt; 0.000001,0,1)</f>
        <v>0</v>
      </c>
      <c r="N36" t="str">
        <f>_xlfn.CONCAT(P36:S36)</f>
        <v>acb2</v>
      </c>
      <c r="P36" t="s">
        <v>0</v>
      </c>
      <c r="Q36" t="s">
        <v>2</v>
      </c>
      <c r="R36" t="s">
        <v>1</v>
      </c>
      <c r="S36">
        <v>2</v>
      </c>
      <c r="T36" s="1">
        <v>197.10315070279705</v>
      </c>
      <c r="U36" s="1">
        <v>497782341.92626888</v>
      </c>
    </row>
    <row r="37" spans="2:21" x14ac:dyDescent="0.35">
      <c r="B37" s="9" t="s">
        <v>173</v>
      </c>
      <c r="C37">
        <v>0</v>
      </c>
      <c r="D37">
        <f>squishedLookup(B37)</f>
        <v>0</v>
      </c>
      <c r="E37">
        <f>IF(ABS(C37-D37)&lt; 0.000001,0,1)</f>
        <v>0</v>
      </c>
      <c r="N37" t="str">
        <f>_xlfn.CONCAT(P37:S37)</f>
        <v>acb3</v>
      </c>
      <c r="P37" t="s">
        <v>0</v>
      </c>
      <c r="Q37" t="s">
        <v>2</v>
      </c>
      <c r="R37" t="s">
        <v>1</v>
      </c>
      <c r="S37">
        <v>3</v>
      </c>
      <c r="T37" s="1">
        <v>284.1446936821232</v>
      </c>
      <c r="U37" s="1">
        <v>697695792.001284</v>
      </c>
    </row>
    <row r="38" spans="2:21" x14ac:dyDescent="0.35">
      <c r="B38" s="9" t="s">
        <v>174</v>
      </c>
      <c r="C38">
        <v>1068.9539981067799</v>
      </c>
      <c r="D38">
        <f>squishedLookup(B38)</f>
        <v>1068.9539981067801</v>
      </c>
      <c r="E38">
        <f>IF(ABS(C38-D38)&lt; 0.000001,0,1)</f>
        <v>0</v>
      </c>
      <c r="N38" t="str">
        <f>_xlfn.CONCAT(P38:S38)</f>
        <v>acc0</v>
      </c>
      <c r="P38" t="s">
        <v>0</v>
      </c>
      <c r="Q38" t="s">
        <v>2</v>
      </c>
      <c r="R38" t="s">
        <v>2</v>
      </c>
      <c r="S38">
        <v>0</v>
      </c>
      <c r="T38" s="1">
        <v>0</v>
      </c>
      <c r="U38" s="1">
        <v>1</v>
      </c>
    </row>
    <row r="39" spans="2:21" x14ac:dyDescent="0.35">
      <c r="B39" s="9" t="s">
        <v>175</v>
      </c>
      <c r="C39">
        <v>1643.0837159550099</v>
      </c>
      <c r="D39">
        <f>squishedLookup(B39)</f>
        <v>1643.0837159550099</v>
      </c>
      <c r="E39">
        <f>IF(ABS(C39-D39)&lt; 0.000001,0,1)</f>
        <v>0</v>
      </c>
      <c r="N39" t="str">
        <f>_xlfn.CONCAT(P39:S39)</f>
        <v>acc1</v>
      </c>
      <c r="P39" t="s">
        <v>0</v>
      </c>
      <c r="Q39" t="s">
        <v>2</v>
      </c>
      <c r="R39" t="s">
        <v>2</v>
      </c>
      <c r="S39">
        <v>1</v>
      </c>
      <c r="T39" s="1">
        <v>1944.3980527740302</v>
      </c>
      <c r="U39" s="1">
        <v>31169.364696789249</v>
      </c>
    </row>
    <row r="40" spans="2:21" x14ac:dyDescent="0.35">
      <c r="B40" s="9" t="s">
        <v>176</v>
      </c>
      <c r="C40">
        <v>1756.3905837575001</v>
      </c>
      <c r="D40">
        <f>squishedLookup(B40)</f>
        <v>1756.3905837575001</v>
      </c>
      <c r="E40">
        <f>IF(ABS(C40-D40)&lt; 0.000001,0,1)</f>
        <v>0</v>
      </c>
      <c r="N40" t="str">
        <f>_xlfn.CONCAT(P40:S40)</f>
        <v>acc2</v>
      </c>
      <c r="P40" t="s">
        <v>0</v>
      </c>
      <c r="Q40" t="s">
        <v>2</v>
      </c>
      <c r="R40" t="s">
        <v>2</v>
      </c>
      <c r="S40">
        <v>2</v>
      </c>
      <c r="T40" s="1">
        <v>5979.9346993100335</v>
      </c>
      <c r="U40" s="1">
        <v>39786.88693888743</v>
      </c>
    </row>
    <row r="41" spans="2:21" x14ac:dyDescent="0.35">
      <c r="B41" s="9" t="s">
        <v>177</v>
      </c>
      <c r="C41">
        <v>0</v>
      </c>
      <c r="D41">
        <f>squishedLookup(B41)</f>
        <v>0</v>
      </c>
      <c r="E41">
        <f>IF(ABS(C41-D41)&lt; 0.000001,0,1)</f>
        <v>0</v>
      </c>
      <c r="N41" t="str">
        <f>_xlfn.CONCAT(P41:S41)</f>
        <v>acc3</v>
      </c>
      <c r="P41" t="s">
        <v>0</v>
      </c>
      <c r="Q41" t="s">
        <v>2</v>
      </c>
      <c r="R41" t="s">
        <v>2</v>
      </c>
      <c r="S41">
        <v>3</v>
      </c>
      <c r="T41" s="1">
        <v>9976.4162195488516</v>
      </c>
      <c r="U41" s="1">
        <v>42802.149821908024</v>
      </c>
    </row>
    <row r="42" spans="2:21" x14ac:dyDescent="0.35">
      <c r="B42" s="9" t="s">
        <v>178</v>
      </c>
      <c r="C42">
        <v>278.06175596617612</v>
      </c>
      <c r="D42">
        <f>squishedLookup(B42)</f>
        <v>278.06175596617601</v>
      </c>
      <c r="E42">
        <f>IF(ABS(C42-D42)&lt; 0.000001,0,1)</f>
        <v>0</v>
      </c>
      <c r="N42" t="str">
        <f>_xlfn.CONCAT(P42:S42)</f>
        <v>baa1</v>
      </c>
      <c r="P42" t="s">
        <v>1</v>
      </c>
      <c r="Q42" t="s">
        <v>0</v>
      </c>
      <c r="R42" t="s">
        <v>0</v>
      </c>
      <c r="S42">
        <v>1</v>
      </c>
      <c r="T42" s="1">
        <v>50483.727912004491</v>
      </c>
      <c r="U42" s="1">
        <v>14.645643749229539</v>
      </c>
    </row>
    <row r="43" spans="2:21" x14ac:dyDescent="0.35">
      <c r="B43" s="9" t="s">
        <v>154</v>
      </c>
      <c r="C43">
        <v>587.95282824522997</v>
      </c>
      <c r="D43">
        <f>squishedLookup(B43)</f>
        <v>587.95282824522997</v>
      </c>
      <c r="E43">
        <f>IF(ABS(C43-D43)&lt; 0.000001,0,1)</f>
        <v>0</v>
      </c>
      <c r="N43" t="str">
        <f>_xlfn.CONCAT(P43:S43)</f>
        <v>baa2</v>
      </c>
      <c r="P43" t="s">
        <v>1</v>
      </c>
      <c r="Q43" t="s">
        <v>0</v>
      </c>
      <c r="R43" t="s">
        <v>0</v>
      </c>
      <c r="S43">
        <v>2</v>
      </c>
      <c r="T43" s="1">
        <v>70854.229385690473</v>
      </c>
      <c r="U43" s="1">
        <v>15.576829448940069</v>
      </c>
    </row>
    <row r="44" spans="2:21" x14ac:dyDescent="0.35">
      <c r="B44" s="9" t="s">
        <v>179</v>
      </c>
      <c r="C44">
        <v>1862.6122899355958</v>
      </c>
      <c r="D44">
        <f>squishedLookup(B44)</f>
        <v>1862.6122899356001</v>
      </c>
      <c r="E44">
        <f>IF(ABS(C44-D44)&lt; 0.000001,0,1)</f>
        <v>0</v>
      </c>
      <c r="N44" t="str">
        <f>_xlfn.CONCAT(P44:S44)</f>
        <v>baa3</v>
      </c>
      <c r="P44" t="s">
        <v>1</v>
      </c>
      <c r="Q44" t="s">
        <v>0</v>
      </c>
      <c r="R44" t="s">
        <v>0</v>
      </c>
      <c r="S44">
        <v>3</v>
      </c>
      <c r="T44" s="1">
        <v>73692.139723088141</v>
      </c>
      <c r="U44" s="1">
        <v>16.193903967407252</v>
      </c>
    </row>
    <row r="45" spans="2:21" x14ac:dyDescent="0.35">
      <c r="B45" s="9" t="s">
        <v>180</v>
      </c>
      <c r="C45">
        <v>0</v>
      </c>
      <c r="D45">
        <f>squishedLookup(B45)</f>
        <v>0</v>
      </c>
      <c r="E45">
        <f>IF(ABS(C45-D45)&lt; 0.000001,0,1)</f>
        <v>0</v>
      </c>
      <c r="N45" t="str">
        <f>_xlfn.CONCAT(P45:S45)</f>
        <v>bab0</v>
      </c>
      <c r="P45" t="s">
        <v>1</v>
      </c>
      <c r="Q45" t="s">
        <v>0</v>
      </c>
      <c r="R45" t="s">
        <v>1</v>
      </c>
      <c r="S45">
        <v>0</v>
      </c>
      <c r="T45" s="1">
        <v>0</v>
      </c>
      <c r="U45" s="1">
        <v>1</v>
      </c>
    </row>
    <row r="46" spans="2:21" x14ac:dyDescent="0.35">
      <c r="B46" s="9" t="s">
        <v>181</v>
      </c>
      <c r="C46">
        <v>112.88403832055414</v>
      </c>
      <c r="D46">
        <f>squishedLookup(B46)</f>
        <v>112.884038320554</v>
      </c>
      <c r="E46">
        <f>IF(ABS(C46-D46)&lt; 0.000001,0,1)</f>
        <v>0</v>
      </c>
      <c r="N46" t="str">
        <f>_xlfn.CONCAT(P46:S46)</f>
        <v>bab1</v>
      </c>
      <c r="P46" t="s">
        <v>1</v>
      </c>
      <c r="Q46" t="s">
        <v>0</v>
      </c>
      <c r="R46" t="s">
        <v>1</v>
      </c>
      <c r="S46">
        <v>1</v>
      </c>
      <c r="T46" s="1">
        <v>2.4807518739444765</v>
      </c>
      <c r="U46" s="1">
        <v>3238.7463303242307</v>
      </c>
    </row>
    <row r="47" spans="2:21" x14ac:dyDescent="0.35">
      <c r="B47" s="9" t="s">
        <v>182</v>
      </c>
      <c r="C47">
        <v>349.37047016031266</v>
      </c>
      <c r="D47">
        <f>squishedLookup(B47)</f>
        <v>349.370470160313</v>
      </c>
      <c r="E47">
        <f>IF(ABS(C47-D47)&lt; 0.000001,0,1)</f>
        <v>0</v>
      </c>
      <c r="N47" t="str">
        <f>_xlfn.CONCAT(P47:S47)</f>
        <v>bab2</v>
      </c>
      <c r="P47" t="s">
        <v>1</v>
      </c>
      <c r="Q47" t="s">
        <v>0</v>
      </c>
      <c r="R47" t="s">
        <v>1</v>
      </c>
      <c r="S47">
        <v>2</v>
      </c>
      <c r="T47" s="1">
        <v>3.5399956870465266</v>
      </c>
      <c r="U47" s="1">
        <v>4959.4936497493691</v>
      </c>
    </row>
    <row r="48" spans="2:21" x14ac:dyDescent="0.35">
      <c r="B48" s="9" t="s">
        <v>183</v>
      </c>
      <c r="C48">
        <v>2378.2040176678197</v>
      </c>
      <c r="D48">
        <f>squishedLookup(B48)</f>
        <v>2378.2040176678202</v>
      </c>
      <c r="E48">
        <f>IF(ABS(C48-D48)&lt; 0.000001,0,1)</f>
        <v>0</v>
      </c>
      <c r="N48" t="str">
        <f>_xlfn.CONCAT(P48:S48)</f>
        <v>bab3</v>
      </c>
      <c r="P48" t="s">
        <v>1</v>
      </c>
      <c r="Q48" t="s">
        <v>0</v>
      </c>
      <c r="R48" t="s">
        <v>1</v>
      </c>
      <c r="S48">
        <v>3</v>
      </c>
      <c r="T48" s="1">
        <v>5.3186917042826574</v>
      </c>
      <c r="U48" s="1">
        <v>12219.767854770258</v>
      </c>
    </row>
    <row r="49" spans="2:24" x14ac:dyDescent="0.35">
      <c r="B49" s="9" t="s">
        <v>184</v>
      </c>
      <c r="C49">
        <v>0</v>
      </c>
      <c r="D49">
        <f>squishedLookup(B49)</f>
        <v>0</v>
      </c>
      <c r="E49">
        <f>IF(ABS(C49-D49)&lt; 0.000001,0,1)</f>
        <v>0</v>
      </c>
      <c r="N49" t="str">
        <f>_xlfn.CONCAT(P49:S49)</f>
        <v>bac0</v>
      </c>
      <c r="P49" t="s">
        <v>1</v>
      </c>
      <c r="Q49" t="s">
        <v>0</v>
      </c>
      <c r="R49" t="s">
        <v>2</v>
      </c>
      <c r="S49">
        <v>0</v>
      </c>
      <c r="T49" s="1">
        <v>0</v>
      </c>
      <c r="U49" s="1">
        <v>1</v>
      </c>
    </row>
    <row r="50" spans="2:24" x14ac:dyDescent="0.35">
      <c r="B50" s="9" t="s">
        <v>185</v>
      </c>
      <c r="C50">
        <v>129.2490594466469</v>
      </c>
      <c r="D50">
        <f>squishedLookup(B50)</f>
        <v>129.24905944664701</v>
      </c>
      <c r="E50">
        <f>IF(ABS(C50-D50)&lt; 0.000001,0,1)</f>
        <v>0</v>
      </c>
      <c r="N50" t="str">
        <f>_xlfn.CONCAT(P50:S50)</f>
        <v>bac1</v>
      </c>
      <c r="P50" t="s">
        <v>1</v>
      </c>
      <c r="Q50" t="s">
        <v>0</v>
      </c>
      <c r="R50" t="s">
        <v>2</v>
      </c>
      <c r="S50">
        <v>1</v>
      </c>
      <c r="T50" s="1">
        <v>5.2610046638076966</v>
      </c>
      <c r="U50" s="1">
        <v>203650.33207131701</v>
      </c>
    </row>
    <row r="51" spans="2:24" x14ac:dyDescent="0.35">
      <c r="B51" s="9" t="s">
        <v>186</v>
      </c>
      <c r="C51">
        <v>197.10315070279705</v>
      </c>
      <c r="D51">
        <f>squishedLookup(B51)</f>
        <v>197.103150702797</v>
      </c>
      <c r="E51">
        <f>IF(ABS(C51-D51)&lt; 0.000001,0,1)</f>
        <v>0</v>
      </c>
      <c r="N51" t="str">
        <f>_xlfn.CONCAT(P51:S51)</f>
        <v>bac2</v>
      </c>
      <c r="P51" t="s">
        <v>1</v>
      </c>
      <c r="Q51" t="s">
        <v>0</v>
      </c>
      <c r="R51" t="s">
        <v>2</v>
      </c>
      <c r="S51">
        <v>2</v>
      </c>
      <c r="T51" s="1">
        <v>8.5030935565335444</v>
      </c>
      <c r="U51" s="1">
        <v>256067.63076211899</v>
      </c>
    </row>
    <row r="52" spans="2:24" x14ac:dyDescent="0.35">
      <c r="B52" s="9" t="s">
        <v>187</v>
      </c>
      <c r="C52">
        <v>284.1446936821232</v>
      </c>
      <c r="D52">
        <f>squishedLookup(B52)</f>
        <v>284.14469368212298</v>
      </c>
      <c r="E52">
        <f>IF(ABS(C52-D52)&lt; 0.000001,0,1)</f>
        <v>0</v>
      </c>
      <c r="N52" t="str">
        <f>_xlfn.CONCAT(P52:S52)</f>
        <v>bac3</v>
      </c>
      <c r="P52" t="s">
        <v>1</v>
      </c>
      <c r="Q52" t="s">
        <v>0</v>
      </c>
      <c r="R52" t="s">
        <v>2</v>
      </c>
      <c r="S52">
        <v>3</v>
      </c>
      <c r="T52" s="1">
        <v>14.203542751488309</v>
      </c>
      <c r="U52" s="1">
        <v>292241.80813188077</v>
      </c>
    </row>
    <row r="53" spans="2:24" x14ac:dyDescent="0.35">
      <c r="B53" s="9" t="s">
        <v>188</v>
      </c>
      <c r="C53">
        <v>0</v>
      </c>
      <c r="D53">
        <f>squishedLookup(B53)</f>
        <v>0</v>
      </c>
      <c r="E53">
        <f>IF(ABS(C53-D53)&lt; 0.000001,0,1)</f>
        <v>0</v>
      </c>
      <c r="N53" t="str">
        <f>_xlfn.CONCAT(P53:S53)</f>
        <v>bba0</v>
      </c>
      <c r="P53" t="s">
        <v>1</v>
      </c>
      <c r="Q53" t="s">
        <v>1</v>
      </c>
      <c r="R53" t="s">
        <v>0</v>
      </c>
      <c r="S53">
        <v>0</v>
      </c>
      <c r="T53" s="1">
        <v>0</v>
      </c>
      <c r="U53" s="1">
        <v>1</v>
      </c>
      <c r="W53" s="4" t="s">
        <v>56</v>
      </c>
    </row>
    <row r="54" spans="2:24" x14ac:dyDescent="0.35">
      <c r="B54" s="9" t="s">
        <v>189</v>
      </c>
      <c r="C54">
        <v>1944.3980527740302</v>
      </c>
      <c r="D54">
        <f>squishedLookup(B54)</f>
        <v>1944.39805277403</v>
      </c>
      <c r="E54">
        <f>IF(ABS(C54-D54)&lt; 0.000001,0,1)</f>
        <v>0</v>
      </c>
      <c r="N54" t="str">
        <f>_xlfn.CONCAT(P54:S54)</f>
        <v>bba1</v>
      </c>
      <c r="P54" t="s">
        <v>1</v>
      </c>
      <c r="Q54" t="s">
        <v>1</v>
      </c>
      <c r="R54" t="s">
        <v>0</v>
      </c>
      <c r="S54">
        <v>1</v>
      </c>
      <c r="T54" s="1">
        <v>371.39932612569993</v>
      </c>
      <c r="U54" s="1">
        <v>46.48373439255387</v>
      </c>
      <c r="W54" t="s">
        <v>52</v>
      </c>
    </row>
    <row r="55" spans="2:24" x14ac:dyDescent="0.35">
      <c r="B55" s="9" t="s">
        <v>190</v>
      </c>
      <c r="C55">
        <v>5979.9346993100335</v>
      </c>
      <c r="D55">
        <f>squishedLookup(B55)</f>
        <v>5979.9346993100298</v>
      </c>
      <c r="E55">
        <f>IF(ABS(C55-D55)&lt; 0.000001,0,1)</f>
        <v>0</v>
      </c>
      <c r="N55" t="str">
        <f>_xlfn.CONCAT(P55:S55)</f>
        <v>bba2</v>
      </c>
      <c r="P55" t="s">
        <v>1</v>
      </c>
      <c r="Q55" t="s">
        <v>1</v>
      </c>
      <c r="R55" t="s">
        <v>0</v>
      </c>
      <c r="S55">
        <v>2</v>
      </c>
      <c r="T55" s="1">
        <v>525.19371925760788</v>
      </c>
      <c r="U55" s="1">
        <v>56.893980910799328</v>
      </c>
      <c r="W55" t="s">
        <v>53</v>
      </c>
    </row>
    <row r="56" spans="2:24" x14ac:dyDescent="0.35">
      <c r="B56" s="9" t="s">
        <v>191</v>
      </c>
      <c r="C56">
        <v>9976.4162195488516</v>
      </c>
      <c r="D56">
        <f>squishedLookup(B56)</f>
        <v>9976.4162195488498</v>
      </c>
      <c r="E56">
        <f>IF(ABS(C56-D56)&lt; 0.000001,0,1)</f>
        <v>0</v>
      </c>
      <c r="N56" t="str">
        <f>_xlfn.CONCAT(P56:S56)</f>
        <v>bba3</v>
      </c>
      <c r="P56" t="s">
        <v>1</v>
      </c>
      <c r="Q56" t="s">
        <v>1</v>
      </c>
      <c r="R56" t="s">
        <v>0</v>
      </c>
      <c r="S56">
        <v>3</v>
      </c>
      <c r="T56" s="1">
        <v>621.9294586135677</v>
      </c>
      <c r="U56" s="1">
        <v>71.268761877017184</v>
      </c>
    </row>
    <row r="57" spans="2:24" x14ac:dyDescent="0.35">
      <c r="B57" s="9" t="s">
        <v>192</v>
      </c>
      <c r="C57">
        <v>50483.727912004491</v>
      </c>
      <c r="D57">
        <f>squishedLookup(B57)</f>
        <v>50483.727912004499</v>
      </c>
      <c r="E57">
        <f>IF(ABS(C57-D57)&lt; 0.000001,0,1)</f>
        <v>0</v>
      </c>
      <c r="N57" t="str">
        <f>_xlfn.CONCAT(P57:S57)</f>
        <v>bbb0</v>
      </c>
      <c r="P57" t="s">
        <v>1</v>
      </c>
      <c r="Q57" t="s">
        <v>1</v>
      </c>
      <c r="R57" t="s">
        <v>1</v>
      </c>
      <c r="S57">
        <v>0</v>
      </c>
      <c r="T57" s="1">
        <v>0</v>
      </c>
      <c r="U57" s="1">
        <v>1</v>
      </c>
      <c r="W57" t="s">
        <v>8</v>
      </c>
      <c r="X57" s="2" t="s">
        <v>1</v>
      </c>
    </row>
    <row r="58" spans="2:24" x14ac:dyDescent="0.35">
      <c r="B58" s="9" t="s">
        <v>193</v>
      </c>
      <c r="C58">
        <v>70854.229385690473</v>
      </c>
      <c r="D58">
        <f>squishedLookup(B58)</f>
        <v>70854.229385690502</v>
      </c>
      <c r="E58">
        <f>IF(ABS(C58-D58)&lt; 0.000001,0,1)</f>
        <v>0</v>
      </c>
      <c r="N58" t="str">
        <f>_xlfn.CONCAT(P58:S58)</f>
        <v>bbb1</v>
      </c>
      <c r="P58" t="s">
        <v>1</v>
      </c>
      <c r="Q58" t="s">
        <v>1</v>
      </c>
      <c r="R58" t="s">
        <v>1</v>
      </c>
      <c r="S58">
        <v>1</v>
      </c>
      <c r="T58" s="1">
        <v>519.88799083871697</v>
      </c>
      <c r="U58" s="1">
        <v>320124.77738085127</v>
      </c>
      <c r="W58" t="s">
        <v>7</v>
      </c>
      <c r="X58" s="2" t="s">
        <v>1</v>
      </c>
    </row>
    <row r="59" spans="2:24" x14ac:dyDescent="0.35">
      <c r="B59" s="9" t="s">
        <v>194</v>
      </c>
      <c r="C59">
        <v>73692.139723088141</v>
      </c>
      <c r="D59">
        <f>squishedLookup(B59)</f>
        <v>73692.139723088098</v>
      </c>
      <c r="E59">
        <f>IF(ABS(C59-D59)&lt; 0.000001,0,1)</f>
        <v>0</v>
      </c>
      <c r="N59" t="str">
        <f>_xlfn.CONCAT(P59:S59)</f>
        <v>bbb2</v>
      </c>
      <c r="P59" t="s">
        <v>1</v>
      </c>
      <c r="Q59" t="s">
        <v>1</v>
      </c>
      <c r="R59" t="s">
        <v>1</v>
      </c>
      <c r="S59">
        <v>2</v>
      </c>
      <c r="T59" s="1">
        <v>526.52405245594662</v>
      </c>
      <c r="U59" s="1">
        <v>355372.59344571125</v>
      </c>
      <c r="W59" t="s">
        <v>6</v>
      </c>
      <c r="X59" s="2" t="s">
        <v>2</v>
      </c>
    </row>
    <row r="60" spans="2:24" x14ac:dyDescent="0.35">
      <c r="B60" s="9" t="s">
        <v>195</v>
      </c>
      <c r="C60">
        <v>0</v>
      </c>
      <c r="D60">
        <f>squishedLookup(B60)</f>
        <v>0</v>
      </c>
      <c r="E60">
        <f>IF(ABS(C60-D60)&lt; 0.000001,0,1)</f>
        <v>0</v>
      </c>
      <c r="N60" t="str">
        <f>_xlfn.CONCAT(P60:S60)</f>
        <v>bbb3</v>
      </c>
      <c r="P60" t="s">
        <v>1</v>
      </c>
      <c r="Q60" t="s">
        <v>1</v>
      </c>
      <c r="R60" t="s">
        <v>1</v>
      </c>
      <c r="S60">
        <v>3</v>
      </c>
      <c r="T60" s="1">
        <v>618.11766001930232</v>
      </c>
      <c r="U60" s="1">
        <v>506386.85926206462</v>
      </c>
      <c r="W60" t="s">
        <v>63</v>
      </c>
      <c r="X60" s="2">
        <v>2951</v>
      </c>
    </row>
    <row r="61" spans="2:24" x14ac:dyDescent="0.35">
      <c r="B61" s="9" t="s">
        <v>196</v>
      </c>
      <c r="C61">
        <v>2.4807518739444765</v>
      </c>
      <c r="D61">
        <f>squishedLookup(B61)</f>
        <v>2.48075187394448</v>
      </c>
      <c r="E61">
        <f>IF(ABS(C61-D61)&lt; 0.000001,0,1)</f>
        <v>0</v>
      </c>
      <c r="N61" t="str">
        <f>_xlfn.CONCAT(P61:S61)</f>
        <v>bbc0</v>
      </c>
      <c r="P61" t="s">
        <v>1</v>
      </c>
      <c r="Q61" t="s">
        <v>1</v>
      </c>
      <c r="R61" t="s">
        <v>2</v>
      </c>
      <c r="S61">
        <v>0</v>
      </c>
      <c r="T61" s="1">
        <v>0</v>
      </c>
      <c r="U61" s="1">
        <v>1</v>
      </c>
      <c r="W61" s="4"/>
    </row>
    <row r="62" spans="2:24" x14ac:dyDescent="0.35">
      <c r="B62" s="9" t="s">
        <v>197</v>
      </c>
      <c r="C62">
        <v>3.5399956870465266</v>
      </c>
      <c r="D62">
        <f>squishedLookup(B62)</f>
        <v>3.5399956870465301</v>
      </c>
      <c r="E62">
        <f>IF(ABS(C62-D62)&lt; 0.000001,0,1)</f>
        <v>0</v>
      </c>
      <c r="N62" t="str">
        <f>_xlfn.CONCAT(P62:S62)</f>
        <v>bbc1</v>
      </c>
      <c r="P62" t="s">
        <v>1</v>
      </c>
      <c r="Q62" t="s">
        <v>1</v>
      </c>
      <c r="R62" t="s">
        <v>2</v>
      </c>
      <c r="S62">
        <v>1</v>
      </c>
      <c r="T62" s="1">
        <v>1736.7797038684457</v>
      </c>
      <c r="U62" s="1">
        <v>12.87471229305198</v>
      </c>
      <c r="W62" t="s">
        <v>10</v>
      </c>
      <c r="X62" cm="1">
        <f t="array" ref="X62">SUMPRODUCT(MAX((MyTestTableD[Field1]=X57)*(MyTestTableD[Field2]=X58)*(MyTestTableD[Field3]=X59)*(MyTestTableD[lookup]&lt;=X60)*(MyTestTableD[lookup])))</f>
        <v>2347.9951809806389</v>
      </c>
    </row>
    <row r="63" spans="2:24" x14ac:dyDescent="0.35">
      <c r="B63" s="9" t="s">
        <v>198</v>
      </c>
      <c r="C63">
        <v>5.3186917042826574</v>
      </c>
      <c r="D63">
        <f>squishedLookup(B63)</f>
        <v>5.31869170428266</v>
      </c>
      <c r="E63">
        <f>IF(ABS(C63-D63)&lt; 0.000001,0,1)</f>
        <v>0</v>
      </c>
      <c r="N63" t="str">
        <f>_xlfn.CONCAT(P63:S63)</f>
        <v>bbc2</v>
      </c>
      <c r="P63" t="s">
        <v>1</v>
      </c>
      <c r="Q63" t="s">
        <v>1</v>
      </c>
      <c r="R63" t="s">
        <v>2</v>
      </c>
      <c r="S63">
        <v>2</v>
      </c>
      <c r="T63" s="1">
        <v>2347.9951809806389</v>
      </c>
      <c r="U63" s="1">
        <v>18.315298363592774</v>
      </c>
      <c r="W63" t="s">
        <v>9</v>
      </c>
      <c r="X63" t="e" cm="1">
        <f t="array" aca="1" ref="X63" ca="1">MYLOOKUP2(X57,X58,X59,X60)</f>
        <v>#NAME?</v>
      </c>
    </row>
    <row r="64" spans="2:24" x14ac:dyDescent="0.35">
      <c r="B64" s="9" t="s">
        <v>199</v>
      </c>
      <c r="C64">
        <v>0</v>
      </c>
      <c r="D64">
        <f>squishedLookup(B64)</f>
        <v>0</v>
      </c>
      <c r="E64">
        <f>IF(ABS(C64-D64)&lt; 0.000001,0,1)</f>
        <v>0</v>
      </c>
      <c r="N64" t="str">
        <f>_xlfn.CONCAT(P64:S64)</f>
        <v>bbc3</v>
      </c>
      <c r="P64" t="s">
        <v>1</v>
      </c>
      <c r="Q64" t="s">
        <v>1</v>
      </c>
      <c r="R64" t="s">
        <v>2</v>
      </c>
      <c r="S64">
        <v>3</v>
      </c>
      <c r="T64" s="1">
        <v>2951.0177698249026</v>
      </c>
      <c r="U64" s="1">
        <v>30.565287266593028</v>
      </c>
    </row>
    <row r="65" spans="2:24" x14ac:dyDescent="0.35">
      <c r="B65" s="9" t="s">
        <v>200</v>
      </c>
      <c r="C65">
        <v>5.2610046638076966</v>
      </c>
      <c r="D65">
        <f>squishedLookup(B65)</f>
        <v>5.2610046638077002</v>
      </c>
      <c r="E65">
        <f>IF(ABS(C65-D65)&lt; 0.000001,0,1)</f>
        <v>0</v>
      </c>
      <c r="N65" t="str">
        <f>_xlfn.CONCAT(P65:S65)</f>
        <v>bca0</v>
      </c>
      <c r="P65" t="s">
        <v>1</v>
      </c>
      <c r="Q65" t="s">
        <v>2</v>
      </c>
      <c r="R65" t="s">
        <v>0</v>
      </c>
      <c r="S65">
        <v>0</v>
      </c>
      <c r="T65" s="1">
        <v>0</v>
      </c>
      <c r="U65" s="1">
        <v>1</v>
      </c>
      <c r="W65" s="4" t="s">
        <v>57</v>
      </c>
    </row>
    <row r="66" spans="2:24" x14ac:dyDescent="0.35">
      <c r="B66" s="9" t="s">
        <v>201</v>
      </c>
      <c r="C66">
        <v>8.5030935565335444</v>
      </c>
      <c r="D66">
        <f>squishedLookup(B66)</f>
        <v>8.5030935565335408</v>
      </c>
      <c r="E66">
        <f>IF(ABS(C66-D66)&lt; 0.000001,0,1)</f>
        <v>0</v>
      </c>
      <c r="N66" t="str">
        <f>_xlfn.CONCAT(P66:S66)</f>
        <v>bca1</v>
      </c>
      <c r="P66" t="s">
        <v>1</v>
      </c>
      <c r="Q66" t="s">
        <v>2</v>
      </c>
      <c r="R66" t="s">
        <v>0</v>
      </c>
      <c r="S66">
        <v>1</v>
      </c>
      <c r="T66" s="1">
        <v>534.61053936190672</v>
      </c>
      <c r="U66" s="1">
        <v>818574.40221290139</v>
      </c>
      <c r="W66" t="s">
        <v>52</v>
      </c>
    </row>
    <row r="67" spans="2:24" x14ac:dyDescent="0.35">
      <c r="B67" s="9" t="s">
        <v>202</v>
      </c>
      <c r="C67">
        <v>14.203542751488309</v>
      </c>
      <c r="D67">
        <f>squishedLookup(B67)</f>
        <v>14.2035427514883</v>
      </c>
      <c r="E67">
        <f>IF(ABS(C67-D67)&lt; 0.000001,0,1)</f>
        <v>0</v>
      </c>
      <c r="N67" t="str">
        <f>_xlfn.CONCAT(P67:S67)</f>
        <v>bca2</v>
      </c>
      <c r="P67" t="s">
        <v>1</v>
      </c>
      <c r="Q67" t="s">
        <v>2</v>
      </c>
      <c r="R67" t="s">
        <v>0</v>
      </c>
      <c r="S67">
        <v>2</v>
      </c>
      <c r="T67" s="1">
        <v>535.83743552267015</v>
      </c>
      <c r="U67" s="1">
        <v>473429.77754060243</v>
      </c>
      <c r="W67" t="s">
        <v>54</v>
      </c>
    </row>
    <row r="68" spans="2:24" x14ac:dyDescent="0.35">
      <c r="B68" s="9" t="s">
        <v>203</v>
      </c>
      <c r="C68">
        <v>0</v>
      </c>
      <c r="D68">
        <f>squishedLookup(B68)</f>
        <v>0</v>
      </c>
      <c r="E68">
        <f>IF(ABS(C68-D68)&lt; 0.000001,0,1)</f>
        <v>0</v>
      </c>
      <c r="N68" t="str">
        <f>_xlfn.CONCAT(P68:S68)</f>
        <v>bca3</v>
      </c>
      <c r="P68" t="s">
        <v>1</v>
      </c>
      <c r="Q68" t="s">
        <v>2</v>
      </c>
      <c r="R68" t="s">
        <v>0</v>
      </c>
      <c r="S68">
        <v>3</v>
      </c>
      <c r="T68" s="1">
        <v>740.44056101033595</v>
      </c>
      <c r="U68" s="1">
        <v>671275.63408292818</v>
      </c>
    </row>
    <row r="69" spans="2:24" x14ac:dyDescent="0.35">
      <c r="B69" s="9" t="s">
        <v>204</v>
      </c>
      <c r="C69">
        <v>371.39932612569993</v>
      </c>
      <c r="D69">
        <f>squishedLookup(B69)</f>
        <v>371.39932612569999</v>
      </c>
      <c r="E69">
        <f>IF(ABS(C69-D69)&lt; 0.000001,0,1)</f>
        <v>0</v>
      </c>
      <c r="N69" t="str">
        <f>_xlfn.CONCAT(P69:S69)</f>
        <v>bcb0</v>
      </c>
      <c r="P69" t="s">
        <v>1</v>
      </c>
      <c r="Q69" t="s">
        <v>2</v>
      </c>
      <c r="R69" t="s">
        <v>1</v>
      </c>
      <c r="S69">
        <v>0</v>
      </c>
      <c r="T69" s="1">
        <v>0</v>
      </c>
      <c r="U69" s="1">
        <v>1</v>
      </c>
      <c r="W69" t="s">
        <v>20</v>
      </c>
      <c r="X69" cm="1">
        <f t="array" ref="X69">SUMPRODUCT((MyTestTableD[Field1]=X57)*(MyTestTableD[Field2]=X58)*(MyTestTableD[Field3]=X59)*(MyTestTableD[lookup]=SUMPRODUCT(MAX((MyTestTableD[Field1]=X57)*(MyTestTableD[Field2]=X58)*(MyTestTableD[Field3]=X59)*(MyTestTableD[lookup]&lt;=X60)*(MyTestTableD[lookup]))))*(MyTestTableD[val]))</f>
        <v>18.315298363592774</v>
      </c>
    </row>
    <row r="70" spans="2:24" x14ac:dyDescent="0.35">
      <c r="B70" s="9" t="s">
        <v>205</v>
      </c>
      <c r="C70">
        <v>525.19371925760788</v>
      </c>
      <c r="D70">
        <f>squishedLookup(B70)</f>
        <v>525.193719257608</v>
      </c>
      <c r="E70">
        <f>IF(ABS(C70-D70)&lt; 0.000001,0,1)</f>
        <v>0</v>
      </c>
      <c r="N70" t="str">
        <f>_xlfn.CONCAT(P70:S70)</f>
        <v>bcb1</v>
      </c>
      <c r="P70" t="s">
        <v>1</v>
      </c>
      <c r="Q70" t="s">
        <v>2</v>
      </c>
      <c r="R70" t="s">
        <v>1</v>
      </c>
      <c r="S70">
        <v>1</v>
      </c>
      <c r="T70" s="1">
        <v>873.90333670947098</v>
      </c>
      <c r="U70" s="1">
        <v>5.5308464608446828</v>
      </c>
      <c r="W70" t="s">
        <v>9</v>
      </c>
      <c r="X70" t="e" cm="1">
        <f t="array" aca="1" ref="X70" ca="1">mylookup3(X57,X58,X59,X60)</f>
        <v>#NAME?</v>
      </c>
    </row>
    <row r="71" spans="2:24" x14ac:dyDescent="0.35">
      <c r="B71" s="9" t="s">
        <v>206</v>
      </c>
      <c r="C71">
        <v>621.9294586135677</v>
      </c>
      <c r="D71">
        <f>squishedLookup(B71)</f>
        <v>621.92945861356804</v>
      </c>
      <c r="E71">
        <f>IF(ABS(C71-D71)&lt; 0.000001,0,1)</f>
        <v>0</v>
      </c>
      <c r="N71" t="str">
        <f>_xlfn.CONCAT(P71:S71)</f>
        <v>bcb2</v>
      </c>
      <c r="P71" t="s">
        <v>1</v>
      </c>
      <c r="Q71" t="s">
        <v>2</v>
      </c>
      <c r="R71" t="s">
        <v>1</v>
      </c>
      <c r="S71">
        <v>2</v>
      </c>
      <c r="T71" s="1">
        <v>1640.7421997836814</v>
      </c>
      <c r="U71" s="1">
        <v>3.7891915013635131</v>
      </c>
    </row>
    <row r="72" spans="2:24" x14ac:dyDescent="0.35">
      <c r="B72" s="9" t="s">
        <v>207</v>
      </c>
      <c r="C72">
        <v>0</v>
      </c>
      <c r="D72">
        <f>squishedLookup(B72)</f>
        <v>0</v>
      </c>
      <c r="E72">
        <f>IF(ABS(C72-D72)&lt; 0.000001,0,1)</f>
        <v>0</v>
      </c>
      <c r="N72" t="str">
        <f>_xlfn.CONCAT(P72:S72)</f>
        <v>bcb3</v>
      </c>
      <c r="P72" t="s">
        <v>1</v>
      </c>
      <c r="Q72" t="s">
        <v>2</v>
      </c>
      <c r="R72" t="s">
        <v>1</v>
      </c>
      <c r="S72">
        <v>3</v>
      </c>
      <c r="T72" s="1">
        <v>2167.1256906430149</v>
      </c>
      <c r="U72" s="1">
        <v>5.2369261422376665</v>
      </c>
    </row>
    <row r="73" spans="2:24" x14ac:dyDescent="0.35">
      <c r="B73" s="9" t="s">
        <v>208</v>
      </c>
      <c r="C73">
        <v>519.88799083871697</v>
      </c>
      <c r="D73">
        <f>squishedLookup(B73)</f>
        <v>519.88799083871697</v>
      </c>
      <c r="E73">
        <f>IF(ABS(C73-D73)&lt; 0.000001,0,1)</f>
        <v>0</v>
      </c>
      <c r="N73" t="str">
        <f>_xlfn.CONCAT(P73:S73)</f>
        <v>bcc0</v>
      </c>
      <c r="P73" t="s">
        <v>1</v>
      </c>
      <c r="Q73" t="s">
        <v>2</v>
      </c>
      <c r="R73" t="s">
        <v>2</v>
      </c>
      <c r="S73">
        <v>0</v>
      </c>
      <c r="T73" s="1">
        <v>0</v>
      </c>
      <c r="U73" s="1">
        <v>1</v>
      </c>
      <c r="W73" s="4" t="s">
        <v>58</v>
      </c>
    </row>
    <row r="74" spans="2:24" x14ac:dyDescent="0.35">
      <c r="B74" s="9" t="s">
        <v>209</v>
      </c>
      <c r="C74">
        <v>526.52405245594662</v>
      </c>
      <c r="D74">
        <f>squishedLookup(B74)</f>
        <v>526.52405245594696</v>
      </c>
      <c r="E74">
        <f>IF(ABS(C74-D74)&lt; 0.000001,0,1)</f>
        <v>0</v>
      </c>
      <c r="N74" t="str">
        <f>_xlfn.CONCAT(P74:S74)</f>
        <v>bcc1</v>
      </c>
      <c r="P74" t="s">
        <v>1</v>
      </c>
      <c r="Q74" t="s">
        <v>2</v>
      </c>
      <c r="R74" t="s">
        <v>2</v>
      </c>
      <c r="S74">
        <v>1</v>
      </c>
      <c r="T74" s="1">
        <v>4.5893843322318366</v>
      </c>
      <c r="U74" s="1">
        <v>271.32608217273702</v>
      </c>
      <c r="W74" t="s">
        <v>67</v>
      </c>
    </row>
    <row r="75" spans="2:24" x14ac:dyDescent="0.35">
      <c r="B75" s="9" t="s">
        <v>210</v>
      </c>
      <c r="C75">
        <v>618.11766001930232</v>
      </c>
      <c r="D75">
        <f>squishedLookup(B75)</f>
        <v>618.11766001930198</v>
      </c>
      <c r="E75">
        <f>IF(ABS(C75-D75)&lt; 0.000001,0,1)</f>
        <v>0</v>
      </c>
      <c r="N75" t="str">
        <f>_xlfn.CONCAT(P75:S75)</f>
        <v>bcc2</v>
      </c>
      <c r="P75" t="s">
        <v>1</v>
      </c>
      <c r="Q75" t="s">
        <v>2</v>
      </c>
      <c r="R75" t="s">
        <v>2</v>
      </c>
      <c r="S75">
        <v>2</v>
      </c>
      <c r="T75" s="1">
        <v>6.917525477163986</v>
      </c>
      <c r="U75" s="1">
        <v>378.73130130993701</v>
      </c>
    </row>
    <row r="76" spans="2:24" x14ac:dyDescent="0.35">
      <c r="B76" s="9" t="s">
        <v>211</v>
      </c>
      <c r="C76">
        <v>0</v>
      </c>
      <c r="D76">
        <f>squishedLookup(B76)</f>
        <v>0</v>
      </c>
      <c r="E76">
        <f>IF(ABS(C76-D76)&lt; 0.000001,0,1)</f>
        <v>0</v>
      </c>
      <c r="N76" t="str">
        <f>_xlfn.CONCAT(P76:S76)</f>
        <v>bcc3</v>
      </c>
      <c r="P76" t="s">
        <v>1</v>
      </c>
      <c r="Q76" t="s">
        <v>2</v>
      </c>
      <c r="R76" t="s">
        <v>2</v>
      </c>
      <c r="S76">
        <v>3</v>
      </c>
      <c r="T76" s="1">
        <v>8.2619091128049185</v>
      </c>
      <c r="U76" s="1">
        <v>418.03649604351335</v>
      </c>
      <c r="W76" t="s">
        <v>22</v>
      </c>
      <c r="X76" cm="1">
        <f t="array" ref="X76">SUMPRODUCT(MAX((MyTestTableD[Field1]=X57)*(MyTestTableD[Field2]=X58)*(MyTestTableD[Field3]=X59)*(MyTestTableD[lookup]&lt;=X60)*(MyTestTableD[lookup])))</f>
        <v>2347.9951809806389</v>
      </c>
    </row>
    <row r="77" spans="2:24" x14ac:dyDescent="0.35">
      <c r="B77" s="9" t="s">
        <v>212</v>
      </c>
      <c r="C77">
        <v>1736.7797038684457</v>
      </c>
      <c r="D77">
        <f>squishedLookup(B77)</f>
        <v>1736.77970386845</v>
      </c>
      <c r="E77">
        <f>IF(ABS(C77-D77)&lt; 0.000001,0,1)</f>
        <v>0</v>
      </c>
      <c r="N77" t="str">
        <f>_xlfn.CONCAT(P77:S77)</f>
        <v>caa0</v>
      </c>
      <c r="P77" t="s">
        <v>2</v>
      </c>
      <c r="Q77" t="s">
        <v>0</v>
      </c>
      <c r="R77" t="s">
        <v>0</v>
      </c>
      <c r="S77">
        <v>0</v>
      </c>
      <c r="T77" s="1">
        <v>0</v>
      </c>
      <c r="U77" s="1">
        <v>1</v>
      </c>
      <c r="W77" t="s">
        <v>21</v>
      </c>
      <c r="X77" cm="1">
        <f t="array" ref="X77">SUMPRODUCT(MAX((MyTestTableD[Field1]=X57)*(MyTestTableD[Field2]=X58)*(MyTestTableD[Field3]=X59)*(MyTestTableD[lookup])))</f>
        <v>2951.0177698249026</v>
      </c>
    </row>
    <row r="78" spans="2:24" x14ac:dyDescent="0.35">
      <c r="B78" s="9" t="s">
        <v>213</v>
      </c>
      <c r="C78">
        <v>2347.9951809806389</v>
      </c>
      <c r="D78">
        <f>squishedLookup(B78)</f>
        <v>2347.9951809806398</v>
      </c>
      <c r="E78">
        <f>IF(ABS(C78-D78)&lt; 0.000001,0,1)</f>
        <v>0</v>
      </c>
      <c r="N78" t="str">
        <f>_xlfn.CONCAT(P78:S78)</f>
        <v>caa1</v>
      </c>
      <c r="P78" t="s">
        <v>2</v>
      </c>
      <c r="Q78" t="s">
        <v>0</v>
      </c>
      <c r="R78" t="s">
        <v>0</v>
      </c>
      <c r="S78">
        <v>1</v>
      </c>
      <c r="T78" s="1">
        <v>169.76245902684471</v>
      </c>
      <c r="U78" s="1">
        <v>11026500.943488406</v>
      </c>
      <c r="W78" t="s">
        <v>23</v>
      </c>
      <c r="X78" cm="1">
        <f t="array" aca="1" ref="X78" ca="1">IF(X76=X77,X77,SUMPRODUCT(MAX((MyTestTableD[Field1]=X57)*(MyTestTableD[Field2]=X58)*(MyTestTableD[Field3]=X59)*(MyTestTableD[lookup]&lt;=X60)*(OFFSET((MyTestTableD[lookup]),1,0)))))</f>
        <v>2951.0177698249026</v>
      </c>
    </row>
    <row r="79" spans="2:24" x14ac:dyDescent="0.35">
      <c r="B79" s="9" t="s">
        <v>214</v>
      </c>
      <c r="C79">
        <v>2951.0177698249026</v>
      </c>
      <c r="D79">
        <f>squishedLookup(B79)</f>
        <v>2951.0177698248999</v>
      </c>
      <c r="E79">
        <f>IF(ABS(C79-D79)&lt; 0.000001,0,1)</f>
        <v>0</v>
      </c>
      <c r="N79" t="str">
        <f>_xlfn.CONCAT(P79:S79)</f>
        <v>caa2</v>
      </c>
      <c r="P79" t="s">
        <v>2</v>
      </c>
      <c r="Q79" t="s">
        <v>0</v>
      </c>
      <c r="R79" t="s">
        <v>0</v>
      </c>
      <c r="S79">
        <v>2</v>
      </c>
      <c r="T79" s="1">
        <v>260.35087688671661</v>
      </c>
      <c r="U79" s="1">
        <v>26327365.012117598</v>
      </c>
      <c r="W79" t="s">
        <v>24</v>
      </c>
      <c r="X79" cm="1">
        <f t="array" ref="X79">SUMPRODUCT((MyTestTableD[Field1]=X57)*(MyTestTableD[Field2]=X58)*(MyTestTableD[Field3]=X59)*(MyTestTableD[lookup]=X76)*(MyTestTableD[val]))</f>
        <v>18.315298363592774</v>
      </c>
    </row>
    <row r="80" spans="2:24" x14ac:dyDescent="0.35">
      <c r="B80" s="9" t="s">
        <v>215</v>
      </c>
      <c r="C80">
        <v>0</v>
      </c>
      <c r="D80">
        <f>squishedLookup(B80)</f>
        <v>0</v>
      </c>
      <c r="E80">
        <f>IF(ABS(C80-D80)&lt; 0.000001,0,1)</f>
        <v>0</v>
      </c>
      <c r="N80" t="str">
        <f>_xlfn.CONCAT(P80:S80)</f>
        <v>caa3</v>
      </c>
      <c r="P80" t="s">
        <v>2</v>
      </c>
      <c r="Q80" t="s">
        <v>0</v>
      </c>
      <c r="R80" t="s">
        <v>0</v>
      </c>
      <c r="S80">
        <v>3</v>
      </c>
      <c r="T80" s="1">
        <v>329.02527865688</v>
      </c>
      <c r="U80" s="1">
        <v>76072677.45279552</v>
      </c>
      <c r="W80" t="s">
        <v>68</v>
      </c>
      <c r="X80" cm="1">
        <f t="array" aca="1" ref="X80" ca="1">SUMPRODUCT((MyTestTableD[Field1]=X57)*(MyTestTableD[Field2]=X58)*(MyTestTableD[Field3]=X59)*(MyTestTableD[lookup]=X78)*(MyTestTableD[val]))</f>
        <v>30.565287266593028</v>
      </c>
    </row>
    <row r="81" spans="2:24" x14ac:dyDescent="0.35">
      <c r="B81" s="9" t="s">
        <v>216</v>
      </c>
      <c r="C81">
        <v>534.61053936190672</v>
      </c>
      <c r="D81">
        <f>squishedLookup(B81)</f>
        <v>534.61053936190694</v>
      </c>
      <c r="E81">
        <f>IF(ABS(C81-D81)&lt; 0.000001,0,1)</f>
        <v>0</v>
      </c>
      <c r="N81" t="str">
        <f>_xlfn.CONCAT(P81:S81)</f>
        <v>cab0</v>
      </c>
      <c r="P81" t="s">
        <v>2</v>
      </c>
      <c r="Q81" t="s">
        <v>0</v>
      </c>
      <c r="R81" t="s">
        <v>1</v>
      </c>
      <c r="S81">
        <v>0</v>
      </c>
      <c r="T81" s="1">
        <v>0</v>
      </c>
      <c r="U81" s="1">
        <v>1</v>
      </c>
    </row>
    <row r="82" spans="2:24" x14ac:dyDescent="0.35">
      <c r="B82" s="9" t="s">
        <v>217</v>
      </c>
      <c r="C82">
        <v>535.83743552267015</v>
      </c>
      <c r="D82">
        <f>squishedLookup(B82)</f>
        <v>535.83743552267003</v>
      </c>
      <c r="E82">
        <f>IF(ABS(C82-D82)&lt; 0.000001,0,1)</f>
        <v>0</v>
      </c>
      <c r="N82" t="str">
        <f>_xlfn.CONCAT(P82:S82)</f>
        <v>cab1</v>
      </c>
      <c r="P82" t="s">
        <v>2</v>
      </c>
      <c r="Q82" t="s">
        <v>0</v>
      </c>
      <c r="R82" t="s">
        <v>1</v>
      </c>
      <c r="S82">
        <v>1</v>
      </c>
      <c r="T82" s="1">
        <v>45281.487312221827</v>
      </c>
      <c r="U82" s="1">
        <v>22988818.230815407</v>
      </c>
      <c r="W82" t="s">
        <v>25</v>
      </c>
      <c r="X82">
        <f ca="1">IF(X78&gt;X76,((X60-X76)/(X78-X76))*(X80-X79)+X79,X80)</f>
        <v>30.564926284829006</v>
      </c>
    </row>
    <row r="83" spans="2:24" x14ac:dyDescent="0.35">
      <c r="B83" s="9" t="s">
        <v>218</v>
      </c>
      <c r="C83">
        <v>740.44056101033595</v>
      </c>
      <c r="D83">
        <f>squishedLookup(B83)</f>
        <v>740.44056101033595</v>
      </c>
      <c r="E83">
        <f>IF(ABS(C83-D83)&lt; 0.000001,0,1)</f>
        <v>0</v>
      </c>
      <c r="N83" t="str">
        <f>_xlfn.CONCAT(P83:S83)</f>
        <v>cab2</v>
      </c>
      <c r="P83" t="s">
        <v>2</v>
      </c>
      <c r="Q83" t="s">
        <v>0</v>
      </c>
      <c r="R83" t="s">
        <v>1</v>
      </c>
      <c r="S83">
        <v>2</v>
      </c>
      <c r="T83" s="1">
        <v>64311.555948999267</v>
      </c>
      <c r="U83" s="1">
        <v>36179080.498874679</v>
      </c>
      <c r="W83" t="s">
        <v>9</v>
      </c>
      <c r="X83" cm="1">
        <f t="array" ref="X83">interp(X57,X58,X59,X60)</f>
        <v>30.564926284829035</v>
      </c>
    </row>
    <row r="84" spans="2:24" x14ac:dyDescent="0.35">
      <c r="B84" s="9" t="s">
        <v>219</v>
      </c>
      <c r="C84">
        <v>0</v>
      </c>
      <c r="D84">
        <f>squishedLookup(B84)</f>
        <v>0</v>
      </c>
      <c r="E84">
        <f>IF(ABS(C84-D84)&lt; 0.000001,0,1)</f>
        <v>0</v>
      </c>
      <c r="N84" t="str">
        <f>_xlfn.CONCAT(P84:S84)</f>
        <v>cab3</v>
      </c>
      <c r="P84" t="s">
        <v>2</v>
      </c>
      <c r="Q84" t="s">
        <v>0</v>
      </c>
      <c r="R84" t="s">
        <v>1</v>
      </c>
      <c r="S84">
        <v>3</v>
      </c>
      <c r="T84" s="1">
        <v>77218.254144733932</v>
      </c>
      <c r="U84" s="1">
        <v>41616148.875773117</v>
      </c>
    </row>
    <row r="85" spans="2:24" x14ac:dyDescent="0.35">
      <c r="B85" s="9" t="s">
        <v>220</v>
      </c>
      <c r="C85">
        <v>873.90333670947098</v>
      </c>
      <c r="D85">
        <f>squishedLookup(B85)</f>
        <v>873.90333670947098</v>
      </c>
      <c r="E85">
        <f>IF(ABS(C85-D85)&lt; 0.000001,0,1)</f>
        <v>0</v>
      </c>
      <c r="N85" t="str">
        <f>_xlfn.CONCAT(P85:S85)</f>
        <v>cac0</v>
      </c>
      <c r="P85" t="s">
        <v>2</v>
      </c>
      <c r="Q85" t="s">
        <v>0</v>
      </c>
      <c r="R85" t="s">
        <v>2</v>
      </c>
      <c r="S85">
        <v>0</v>
      </c>
      <c r="T85" s="1">
        <v>0</v>
      </c>
      <c r="U85" s="1">
        <v>1</v>
      </c>
    </row>
    <row r="86" spans="2:24" x14ac:dyDescent="0.35">
      <c r="B86" s="9" t="s">
        <v>221</v>
      </c>
      <c r="C86">
        <v>1640.7421997836814</v>
      </c>
      <c r="D86">
        <f>squishedLookup(B86)</f>
        <v>1640.74219978368</v>
      </c>
      <c r="E86">
        <f>IF(ABS(C86-D86)&lt; 0.000001,0,1)</f>
        <v>0</v>
      </c>
      <c r="N86" t="str">
        <f>_xlfn.CONCAT(P86:S86)</f>
        <v>cac1</v>
      </c>
      <c r="P86" t="s">
        <v>2</v>
      </c>
      <c r="Q86" t="s">
        <v>0</v>
      </c>
      <c r="R86" t="s">
        <v>2</v>
      </c>
      <c r="S86">
        <v>1</v>
      </c>
      <c r="T86" s="1">
        <v>357.56914715059258</v>
      </c>
      <c r="U86" s="1">
        <v>3.3623867508680561</v>
      </c>
    </row>
    <row r="87" spans="2:24" x14ac:dyDescent="0.35">
      <c r="B87" s="9" t="s">
        <v>222</v>
      </c>
      <c r="C87">
        <v>2167.1256906430149</v>
      </c>
      <c r="D87">
        <f>squishedLookup(B87)</f>
        <v>2167.1256906430099</v>
      </c>
      <c r="E87">
        <f>IF(ABS(C87-D87)&lt; 0.000001,0,1)</f>
        <v>0</v>
      </c>
      <c r="N87" t="str">
        <f>_xlfn.CONCAT(P87:S87)</f>
        <v>cac2</v>
      </c>
      <c r="P87" t="s">
        <v>2</v>
      </c>
      <c r="Q87" t="s">
        <v>0</v>
      </c>
      <c r="R87" t="s">
        <v>2</v>
      </c>
      <c r="S87">
        <v>2</v>
      </c>
      <c r="T87" s="1">
        <v>4290.0529519584898</v>
      </c>
      <c r="U87" s="1">
        <v>5.3319706053934741</v>
      </c>
    </row>
    <row r="88" spans="2:24" x14ac:dyDescent="0.35">
      <c r="B88" s="9" t="s">
        <v>223</v>
      </c>
      <c r="C88">
        <v>0</v>
      </c>
      <c r="D88">
        <f>squishedLookup(B88)</f>
        <v>0</v>
      </c>
      <c r="E88">
        <f>IF(ABS(C88-D88)&lt; 0.000001,0,1)</f>
        <v>0</v>
      </c>
      <c r="N88" t="str">
        <f>_xlfn.CONCAT(P88:S88)</f>
        <v>cac3</v>
      </c>
      <c r="P88" t="s">
        <v>2</v>
      </c>
      <c r="Q88" t="s">
        <v>0</v>
      </c>
      <c r="R88" t="s">
        <v>2</v>
      </c>
      <c r="S88">
        <v>3</v>
      </c>
      <c r="T88" s="1">
        <v>9240.1940859427687</v>
      </c>
      <c r="U88" s="1">
        <v>6.1781690159130553</v>
      </c>
    </row>
    <row r="89" spans="2:24" x14ac:dyDescent="0.35">
      <c r="B89" s="9" t="s">
        <v>224</v>
      </c>
      <c r="C89">
        <v>4.5893843322318366</v>
      </c>
      <c r="D89">
        <f>squishedLookup(B89)</f>
        <v>4.5893843322318402</v>
      </c>
      <c r="E89">
        <f>IF(ABS(C89-D89)&lt; 0.000001,0,1)</f>
        <v>0</v>
      </c>
      <c r="N89" t="str">
        <f>_xlfn.CONCAT(P89:S89)</f>
        <v>cba0</v>
      </c>
      <c r="P89" t="s">
        <v>2</v>
      </c>
      <c r="Q89" t="s">
        <v>1</v>
      </c>
      <c r="R89" t="s">
        <v>0</v>
      </c>
      <c r="S89">
        <v>0</v>
      </c>
      <c r="T89" s="1">
        <v>0</v>
      </c>
      <c r="U89" s="1">
        <v>1</v>
      </c>
    </row>
    <row r="90" spans="2:24" x14ac:dyDescent="0.35">
      <c r="B90" s="9" t="s">
        <v>225</v>
      </c>
      <c r="C90">
        <v>6.917525477163986</v>
      </c>
      <c r="D90">
        <f>squishedLookup(B90)</f>
        <v>6.9175254771639896</v>
      </c>
      <c r="E90">
        <f>IF(ABS(C90-D90)&lt; 0.000001,0,1)</f>
        <v>0</v>
      </c>
      <c r="N90" t="str">
        <f>_xlfn.CONCAT(P90:S90)</f>
        <v>cba1</v>
      </c>
      <c r="P90" t="s">
        <v>2</v>
      </c>
      <c r="Q90" t="s">
        <v>1</v>
      </c>
      <c r="R90" t="s">
        <v>0</v>
      </c>
      <c r="S90">
        <v>1</v>
      </c>
      <c r="T90" s="1">
        <v>4</v>
      </c>
      <c r="U90" s="1">
        <v>57787.59890564072</v>
      </c>
    </row>
    <row r="91" spans="2:24" x14ac:dyDescent="0.35">
      <c r="B91" s="9" t="s">
        <v>226</v>
      </c>
      <c r="C91">
        <v>8.2619091128049185</v>
      </c>
      <c r="D91">
        <f>squishedLookup(B91)</f>
        <v>8.2619091128049202</v>
      </c>
      <c r="E91">
        <f>IF(ABS(C91-D91)&lt; 0.000001,0,1)</f>
        <v>0</v>
      </c>
      <c r="N91" t="str">
        <f>_xlfn.CONCAT(P91:S91)</f>
        <v>cba2</v>
      </c>
      <c r="P91" t="s">
        <v>2</v>
      </c>
      <c r="Q91" t="s">
        <v>1</v>
      </c>
      <c r="R91" t="s">
        <v>0</v>
      </c>
      <c r="S91">
        <v>2</v>
      </c>
      <c r="T91" s="1">
        <v>6.2730518734120064</v>
      </c>
      <c r="U91" s="1">
        <v>68318.461285329176</v>
      </c>
    </row>
    <row r="92" spans="2:24" x14ac:dyDescent="0.35">
      <c r="B92" s="9" t="s">
        <v>227</v>
      </c>
      <c r="C92">
        <v>0</v>
      </c>
      <c r="D92">
        <f>squishedLookup(B92)</f>
        <v>0</v>
      </c>
      <c r="E92">
        <f>IF(ABS(C92-D92)&lt; 0.000001,0,1)</f>
        <v>0</v>
      </c>
      <c r="N92" t="str">
        <f>_xlfn.CONCAT(P92:S92)</f>
        <v>cba3</v>
      </c>
      <c r="P92" t="s">
        <v>2</v>
      </c>
      <c r="Q92" t="s">
        <v>1</v>
      </c>
      <c r="R92" t="s">
        <v>0</v>
      </c>
      <c r="S92">
        <v>3</v>
      </c>
      <c r="T92" s="1">
        <v>8.3739497243440049</v>
      </c>
      <c r="U92" s="1">
        <v>124006.96649103881</v>
      </c>
    </row>
    <row r="93" spans="2:24" x14ac:dyDescent="0.35">
      <c r="B93" s="9" t="s">
        <v>228</v>
      </c>
      <c r="C93">
        <v>169.76245902684471</v>
      </c>
      <c r="D93">
        <f>squishedLookup(B93)</f>
        <v>169.76245902684499</v>
      </c>
      <c r="E93">
        <f>IF(ABS(C93-D93)&lt; 0.000001,0,1)</f>
        <v>0</v>
      </c>
      <c r="N93" t="str">
        <f>_xlfn.CONCAT(P93:S93)</f>
        <v>cbb0</v>
      </c>
      <c r="P93" t="s">
        <v>2</v>
      </c>
      <c r="Q93" t="s">
        <v>1</v>
      </c>
      <c r="R93" t="s">
        <v>1</v>
      </c>
      <c r="S93">
        <v>0</v>
      </c>
      <c r="T93" s="1">
        <v>0</v>
      </c>
      <c r="U93" s="1">
        <v>1</v>
      </c>
    </row>
    <row r="94" spans="2:24" x14ac:dyDescent="0.35">
      <c r="B94" s="9" t="s">
        <v>229</v>
      </c>
      <c r="C94">
        <v>260.35087688671661</v>
      </c>
      <c r="D94">
        <f>squishedLookup(B94)</f>
        <v>260.350876886717</v>
      </c>
      <c r="E94">
        <f>IF(ABS(C94-D94)&lt; 0.000001,0,1)</f>
        <v>0</v>
      </c>
      <c r="N94" t="str">
        <f>_xlfn.CONCAT(P94:S94)</f>
        <v>cbb1</v>
      </c>
      <c r="P94" t="s">
        <v>2</v>
      </c>
      <c r="Q94" t="s">
        <v>1</v>
      </c>
      <c r="R94" t="s">
        <v>1</v>
      </c>
      <c r="S94">
        <v>1</v>
      </c>
      <c r="T94" s="1">
        <v>4.0790346851490904</v>
      </c>
      <c r="U94" s="1">
        <v>487.45835834889658</v>
      </c>
    </row>
    <row r="95" spans="2:24" x14ac:dyDescent="0.35">
      <c r="B95" s="9" t="s">
        <v>230</v>
      </c>
      <c r="C95">
        <v>329.02527865688</v>
      </c>
      <c r="D95">
        <f>squishedLookup(B95)</f>
        <v>329.02527865688</v>
      </c>
      <c r="E95">
        <f>IF(ABS(C95-D95)&lt; 0.000001,0,1)</f>
        <v>0</v>
      </c>
      <c r="N95" t="str">
        <f>_xlfn.CONCAT(P95:S95)</f>
        <v>cbb2</v>
      </c>
      <c r="P95" t="s">
        <v>2</v>
      </c>
      <c r="Q95" t="s">
        <v>1</v>
      </c>
      <c r="R95" t="s">
        <v>1</v>
      </c>
      <c r="S95">
        <v>2</v>
      </c>
      <c r="T95" s="1">
        <v>7.1174884139282417</v>
      </c>
      <c r="U95" s="1">
        <v>324.55491919161261</v>
      </c>
    </row>
    <row r="96" spans="2:24" x14ac:dyDescent="0.35">
      <c r="B96" s="9" t="s">
        <v>231</v>
      </c>
      <c r="C96">
        <v>0</v>
      </c>
      <c r="D96">
        <f>squishedLookup(B96)</f>
        <v>0</v>
      </c>
      <c r="E96">
        <f>IF(ABS(C96-D96)&lt; 0.000001,0,1)</f>
        <v>0</v>
      </c>
      <c r="N96" t="str">
        <f>_xlfn.CONCAT(P96:S96)</f>
        <v>cbb3</v>
      </c>
      <c r="P96" t="s">
        <v>2</v>
      </c>
      <c r="Q96" t="s">
        <v>1</v>
      </c>
      <c r="R96" t="s">
        <v>1</v>
      </c>
      <c r="S96">
        <v>3</v>
      </c>
      <c r="T96" s="1">
        <v>8.1858124681884572</v>
      </c>
      <c r="U96" s="1">
        <v>462.94208062296951</v>
      </c>
    </row>
    <row r="97" spans="2:25" x14ac:dyDescent="0.35">
      <c r="B97" s="9" t="s">
        <v>232</v>
      </c>
      <c r="C97">
        <v>45281.487312221827</v>
      </c>
      <c r="D97">
        <f>squishedLookup(B97)</f>
        <v>45281.487312221798</v>
      </c>
      <c r="E97">
        <f>IF(ABS(C97-D97)&lt; 0.000001,0,1)</f>
        <v>0</v>
      </c>
      <c r="N97" t="str">
        <f>_xlfn.CONCAT(P97:S97)</f>
        <v>cbc0</v>
      </c>
      <c r="P97" t="s">
        <v>2</v>
      </c>
      <c r="Q97" t="s">
        <v>1</v>
      </c>
      <c r="R97" t="s">
        <v>2</v>
      </c>
      <c r="S97">
        <v>0</v>
      </c>
      <c r="T97" s="1">
        <v>0</v>
      </c>
      <c r="U97" s="1">
        <v>1</v>
      </c>
    </row>
    <row r="98" spans="2:25" x14ac:dyDescent="0.35">
      <c r="B98" s="9" t="s">
        <v>233</v>
      </c>
      <c r="C98">
        <v>64311.555948999267</v>
      </c>
      <c r="D98">
        <f>squishedLookup(B98)</f>
        <v>64311.555948999303</v>
      </c>
      <c r="E98">
        <f>IF(ABS(C98-D98)&lt; 0.000001,0,1)</f>
        <v>0</v>
      </c>
      <c r="N98" t="str">
        <f>_xlfn.CONCAT(P98:S98)</f>
        <v>cbc1</v>
      </c>
      <c r="P98" t="s">
        <v>2</v>
      </c>
      <c r="Q98" t="s">
        <v>1</v>
      </c>
      <c r="R98" t="s">
        <v>2</v>
      </c>
      <c r="S98">
        <v>1</v>
      </c>
      <c r="T98" s="1">
        <v>11.919228224531595</v>
      </c>
      <c r="U98" s="1">
        <v>51.552067368712819</v>
      </c>
      <c r="Y98" s="6"/>
    </row>
    <row r="99" spans="2:25" x14ac:dyDescent="0.35">
      <c r="B99" s="9" t="s">
        <v>234</v>
      </c>
      <c r="C99">
        <v>77218.254144733932</v>
      </c>
      <c r="D99">
        <f>squishedLookup(B99)</f>
        <v>77218.254144733903</v>
      </c>
      <c r="E99">
        <f>IF(ABS(C99-D99)&lt; 0.000001,0,1)</f>
        <v>0</v>
      </c>
      <c r="N99" t="str">
        <f>_xlfn.CONCAT(P99:S99)</f>
        <v>cbc2</v>
      </c>
      <c r="P99" t="s">
        <v>2</v>
      </c>
      <c r="Q99" t="s">
        <v>1</v>
      </c>
      <c r="R99" t="s">
        <v>2</v>
      </c>
      <c r="S99">
        <v>2</v>
      </c>
      <c r="T99" s="1">
        <v>61.639136806336744</v>
      </c>
      <c r="U99" s="1">
        <v>32.79178065103477</v>
      </c>
    </row>
    <row r="100" spans="2:25" x14ac:dyDescent="0.35">
      <c r="B100" s="9" t="s">
        <v>235</v>
      </c>
      <c r="C100">
        <v>0</v>
      </c>
      <c r="D100">
        <f>squishedLookup(B100)</f>
        <v>0</v>
      </c>
      <c r="E100">
        <f>IF(ABS(C100-D100)&lt; 0.000001,0,1)</f>
        <v>0</v>
      </c>
      <c r="N100" t="str">
        <f>_xlfn.CONCAT(P100:S100)</f>
        <v>cbc3</v>
      </c>
      <c r="P100" t="s">
        <v>2</v>
      </c>
      <c r="Q100" t="s">
        <v>1</v>
      </c>
      <c r="R100" t="s">
        <v>2</v>
      </c>
      <c r="S100">
        <v>3</v>
      </c>
      <c r="T100" s="1">
        <v>106.06842050306169</v>
      </c>
      <c r="U100" s="1">
        <v>44.226401038674453</v>
      </c>
    </row>
    <row r="101" spans="2:25" x14ac:dyDescent="0.35">
      <c r="B101" s="9" t="s">
        <v>236</v>
      </c>
      <c r="C101">
        <v>357.56914715059258</v>
      </c>
      <c r="D101">
        <f>squishedLookup(B101)</f>
        <v>357.56914715059298</v>
      </c>
      <c r="E101">
        <f>IF(ABS(C101-D101)&lt; 0.000001,0,1)</f>
        <v>0</v>
      </c>
      <c r="N101" t="str">
        <f>_xlfn.CONCAT(P101:S101)</f>
        <v>cca0</v>
      </c>
      <c r="P101" t="s">
        <v>2</v>
      </c>
      <c r="Q101" t="s">
        <v>2</v>
      </c>
      <c r="R101" t="s">
        <v>0</v>
      </c>
      <c r="S101">
        <v>0</v>
      </c>
      <c r="T101" s="1">
        <v>0</v>
      </c>
      <c r="U101" s="1">
        <v>1</v>
      </c>
    </row>
    <row r="102" spans="2:25" x14ac:dyDescent="0.35">
      <c r="B102" s="9" t="s">
        <v>237</v>
      </c>
      <c r="C102">
        <v>4290.0529519584898</v>
      </c>
      <c r="D102">
        <f>squishedLookup(B102)</f>
        <v>4290.0529519584898</v>
      </c>
      <c r="E102">
        <f>IF(ABS(C102-D102)&lt; 0.000001,0,1)</f>
        <v>0</v>
      </c>
      <c r="N102" t="str">
        <f>_xlfn.CONCAT(P102:S102)</f>
        <v>cca1</v>
      </c>
      <c r="P102" t="s">
        <v>2</v>
      </c>
      <c r="Q102" t="s">
        <v>2</v>
      </c>
      <c r="R102" t="s">
        <v>0</v>
      </c>
      <c r="S102">
        <v>1</v>
      </c>
      <c r="T102" s="1">
        <v>1.4749847974150934</v>
      </c>
      <c r="U102" s="1">
        <v>52266617.048029259</v>
      </c>
    </row>
    <row r="103" spans="2:25" x14ac:dyDescent="0.35">
      <c r="B103" s="9" t="s">
        <v>238</v>
      </c>
      <c r="C103">
        <v>9240.1940859427687</v>
      </c>
      <c r="D103">
        <f>squishedLookup(B103)</f>
        <v>9240.1940859427705</v>
      </c>
      <c r="E103">
        <f>IF(ABS(C103-D103)&lt; 0.000001,0,1)</f>
        <v>0</v>
      </c>
      <c r="N103" t="str">
        <f>_xlfn.CONCAT(P103:S103)</f>
        <v>cca2</v>
      </c>
      <c r="P103" t="s">
        <v>2</v>
      </c>
      <c r="Q103" t="s">
        <v>2</v>
      </c>
      <c r="R103" t="s">
        <v>0</v>
      </c>
      <c r="S103">
        <v>2</v>
      </c>
      <c r="T103" s="1">
        <v>2.7870405957017863</v>
      </c>
      <c r="U103" s="1">
        <v>67229039.851606011</v>
      </c>
    </row>
    <row r="104" spans="2:25" x14ac:dyDescent="0.35">
      <c r="B104" s="9" t="s">
        <v>239</v>
      </c>
      <c r="C104">
        <v>0</v>
      </c>
      <c r="D104">
        <f>squishedLookup(B104)</f>
        <v>0</v>
      </c>
      <c r="E104">
        <f>IF(ABS(C104-D104)&lt; 0.000001,0,1)</f>
        <v>0</v>
      </c>
      <c r="N104" t="str">
        <f>_xlfn.CONCAT(P104:S104)</f>
        <v>cca3</v>
      </c>
      <c r="P104" t="s">
        <v>2</v>
      </c>
      <c r="Q104" t="s">
        <v>2</v>
      </c>
      <c r="R104" t="s">
        <v>0</v>
      </c>
      <c r="S104">
        <v>3</v>
      </c>
      <c r="T104" s="1">
        <v>4.760842733190545</v>
      </c>
      <c r="U104" s="1">
        <v>84505017.868354648</v>
      </c>
    </row>
    <row r="105" spans="2:25" x14ac:dyDescent="0.35">
      <c r="B105" s="9" t="s">
        <v>240</v>
      </c>
      <c r="C105">
        <v>4</v>
      </c>
      <c r="D105">
        <f>squishedLookup(B105)</f>
        <v>4</v>
      </c>
      <c r="E105">
        <f>IF(ABS(C105-D105)&lt; 0.000001,0,1)</f>
        <v>0</v>
      </c>
      <c r="N105" t="str">
        <f>_xlfn.CONCAT(P105:S105)</f>
        <v>ccb0</v>
      </c>
      <c r="P105" t="s">
        <v>2</v>
      </c>
      <c r="Q105" t="s">
        <v>2</v>
      </c>
      <c r="R105" t="s">
        <v>1</v>
      </c>
      <c r="S105">
        <v>0</v>
      </c>
      <c r="T105" s="1">
        <v>0</v>
      </c>
      <c r="U105" s="1">
        <v>1</v>
      </c>
    </row>
    <row r="106" spans="2:25" x14ac:dyDescent="0.35">
      <c r="B106" s="9" t="s">
        <v>241</v>
      </c>
      <c r="C106">
        <v>6.2730518734120064</v>
      </c>
      <c r="D106">
        <f>squishedLookup(B106)</f>
        <v>6.27305187341201</v>
      </c>
      <c r="E106">
        <f>IF(ABS(C106-D106)&lt; 0.000001,0,1)</f>
        <v>0</v>
      </c>
      <c r="N106" t="str">
        <f>_xlfn.CONCAT(P106:S106)</f>
        <v>ccb1</v>
      </c>
      <c r="P106" t="s">
        <v>2</v>
      </c>
      <c r="Q106" t="s">
        <v>2</v>
      </c>
      <c r="R106" t="s">
        <v>1</v>
      </c>
      <c r="S106">
        <v>1</v>
      </c>
      <c r="T106" s="1">
        <v>4.049184828269901</v>
      </c>
      <c r="U106" s="1">
        <v>452073673.79274911</v>
      </c>
    </row>
    <row r="107" spans="2:25" x14ac:dyDescent="0.35">
      <c r="B107" s="9" t="s">
        <v>242</v>
      </c>
      <c r="C107">
        <v>8.3739497243440049</v>
      </c>
      <c r="D107">
        <f>squishedLookup(B107)</f>
        <v>8.3739497243439995</v>
      </c>
      <c r="E107">
        <f>IF(ABS(C107-D107)&lt; 0.000001,0,1)</f>
        <v>0</v>
      </c>
      <c r="N107" t="str">
        <f>_xlfn.CONCAT(P107:S107)</f>
        <v>ccb2</v>
      </c>
      <c r="P107" t="s">
        <v>2</v>
      </c>
      <c r="Q107" t="s">
        <v>2</v>
      </c>
      <c r="R107" t="s">
        <v>1</v>
      </c>
      <c r="S107">
        <v>2</v>
      </c>
      <c r="T107" s="1">
        <v>6.0945909160417031</v>
      </c>
      <c r="U107" s="1">
        <v>470325176.57976329</v>
      </c>
    </row>
    <row r="108" spans="2:25" x14ac:dyDescent="0.35">
      <c r="B108" s="9" t="s">
        <v>243</v>
      </c>
      <c r="C108">
        <v>0</v>
      </c>
      <c r="D108">
        <f>squishedLookup(B108)</f>
        <v>0</v>
      </c>
      <c r="E108">
        <f>IF(ABS(C108-D108)&lt; 0.000001,0,1)</f>
        <v>0</v>
      </c>
      <c r="N108" t="str">
        <f>_xlfn.CONCAT(P108:S108)</f>
        <v>ccb3</v>
      </c>
      <c r="P108" t="s">
        <v>2</v>
      </c>
      <c r="Q108" t="s">
        <v>2</v>
      </c>
      <c r="R108" t="s">
        <v>1</v>
      </c>
      <c r="S108">
        <v>3</v>
      </c>
      <c r="T108" s="1">
        <v>9</v>
      </c>
      <c r="U108" s="1">
        <v>508133821.4006716</v>
      </c>
    </row>
    <row r="109" spans="2:25" x14ac:dyDescent="0.35">
      <c r="B109" s="9" t="s">
        <v>244</v>
      </c>
      <c r="C109">
        <v>4.0790346851490904</v>
      </c>
      <c r="D109">
        <f>squishedLookup(B109)</f>
        <v>4.0790346851490904</v>
      </c>
      <c r="E109">
        <f>IF(ABS(C109-D109)&lt; 0.000001,0,1)</f>
        <v>0</v>
      </c>
      <c r="N109" t="str">
        <f>_xlfn.CONCAT(P109:S109)</f>
        <v>ccc0</v>
      </c>
      <c r="P109" t="s">
        <v>2</v>
      </c>
      <c r="Q109" t="s">
        <v>2</v>
      </c>
      <c r="R109" t="s">
        <v>2</v>
      </c>
      <c r="S109">
        <v>0</v>
      </c>
      <c r="T109" s="1">
        <v>0</v>
      </c>
      <c r="U109" s="1">
        <v>1</v>
      </c>
    </row>
    <row r="110" spans="2:25" x14ac:dyDescent="0.35">
      <c r="B110" s="9" t="s">
        <v>245</v>
      </c>
      <c r="C110">
        <v>7.1174884139282417</v>
      </c>
      <c r="D110">
        <f>squishedLookup(B110)</f>
        <v>7.1174884139282399</v>
      </c>
      <c r="E110">
        <f>IF(ABS(C110-D110)&lt; 0.000001,0,1)</f>
        <v>0</v>
      </c>
      <c r="N110" t="str">
        <f>_xlfn.CONCAT(P110:S110)</f>
        <v>ccc1</v>
      </c>
      <c r="P110" t="s">
        <v>2</v>
      </c>
      <c r="Q110" t="s">
        <v>2</v>
      </c>
      <c r="R110" t="s">
        <v>2</v>
      </c>
      <c r="S110">
        <v>1</v>
      </c>
      <c r="T110" s="1">
        <v>1757.0229844103737</v>
      </c>
      <c r="U110" s="1">
        <v>291.25214247518284</v>
      </c>
    </row>
    <row r="111" spans="2:25" x14ac:dyDescent="0.35">
      <c r="B111" s="9" t="s">
        <v>246</v>
      </c>
      <c r="C111">
        <v>8.1858124681884572</v>
      </c>
      <c r="D111">
        <f>squishedLookup(B111)</f>
        <v>8.1858124681884608</v>
      </c>
      <c r="E111">
        <f>IF(ABS(C111-D111)&lt; 0.000001,0,1)</f>
        <v>0</v>
      </c>
      <c r="N111" t="str">
        <f>_xlfn.CONCAT(P111:S111)</f>
        <v>ccc2</v>
      </c>
      <c r="P111" t="s">
        <v>2</v>
      </c>
      <c r="Q111" t="s">
        <v>2</v>
      </c>
      <c r="R111" t="s">
        <v>2</v>
      </c>
      <c r="S111">
        <v>2</v>
      </c>
      <c r="T111" s="1">
        <v>2466.7467772957793</v>
      </c>
      <c r="U111" s="1">
        <v>339.64087400512534</v>
      </c>
    </row>
    <row r="112" spans="2:25" x14ac:dyDescent="0.35">
      <c r="B112" s="9" t="s">
        <v>247</v>
      </c>
      <c r="C112">
        <v>0</v>
      </c>
      <c r="D112">
        <f>squishedLookup(B112)</f>
        <v>0</v>
      </c>
      <c r="E112">
        <f>IF(ABS(C112-D112)&lt; 0.000001,0,1)</f>
        <v>0</v>
      </c>
      <c r="N112" t="str">
        <f>_xlfn.CONCAT(P112:S112)</f>
        <v>ccc3</v>
      </c>
      <c r="P112" t="s">
        <v>2</v>
      </c>
      <c r="Q112" t="s">
        <v>2</v>
      </c>
      <c r="R112" t="s">
        <v>2</v>
      </c>
      <c r="S112">
        <v>3</v>
      </c>
      <c r="T112" s="1">
        <v>4688.6956993980075</v>
      </c>
      <c r="U112" s="1">
        <v>342.0241096241877</v>
      </c>
    </row>
    <row r="113" spans="2:5" x14ac:dyDescent="0.35">
      <c r="B113" s="9" t="s">
        <v>248</v>
      </c>
      <c r="C113">
        <v>11.919228224531595</v>
      </c>
      <c r="D113">
        <f>squishedLookup(B113)</f>
        <v>11.919228224531601</v>
      </c>
      <c r="E113">
        <f>IF(ABS(C113-D113)&lt; 0.000001,0,1)</f>
        <v>0</v>
      </c>
    </row>
    <row r="114" spans="2:5" x14ac:dyDescent="0.35">
      <c r="B114" s="9" t="s">
        <v>249</v>
      </c>
      <c r="C114">
        <v>61.639136806336744</v>
      </c>
      <c r="D114">
        <f>squishedLookup(B114)</f>
        <v>61.639136806336701</v>
      </c>
      <c r="E114">
        <f>IF(ABS(C114-D114)&lt; 0.000001,0,1)</f>
        <v>0</v>
      </c>
    </row>
    <row r="115" spans="2:5" x14ac:dyDescent="0.35">
      <c r="B115" s="9" t="s">
        <v>250</v>
      </c>
      <c r="C115">
        <v>106.06842050306169</v>
      </c>
      <c r="D115">
        <f>squishedLookup(B115)</f>
        <v>106.068420503062</v>
      </c>
      <c r="E115">
        <f>IF(ABS(C115-D115)&lt; 0.000001,0,1)</f>
        <v>0</v>
      </c>
    </row>
    <row r="116" spans="2:5" x14ac:dyDescent="0.35">
      <c r="B116" s="9" t="s">
        <v>251</v>
      </c>
      <c r="C116">
        <v>0</v>
      </c>
      <c r="D116">
        <f>squishedLookup(B116)</f>
        <v>0</v>
      </c>
      <c r="E116">
        <f>IF(ABS(C116-D116)&lt; 0.000001,0,1)</f>
        <v>0</v>
      </c>
    </row>
    <row r="117" spans="2:5" x14ac:dyDescent="0.35">
      <c r="B117" s="9" t="s">
        <v>252</v>
      </c>
      <c r="C117">
        <v>1.4749847974150934</v>
      </c>
      <c r="D117">
        <f>squishedLookup(B117)</f>
        <v>1.47498479741509</v>
      </c>
      <c r="E117">
        <f>IF(ABS(C117-D117)&lt; 0.000001,0,1)</f>
        <v>0</v>
      </c>
    </row>
    <row r="118" spans="2:5" x14ac:dyDescent="0.35">
      <c r="B118" s="9" t="s">
        <v>253</v>
      </c>
      <c r="C118">
        <v>2.7870405957017863</v>
      </c>
      <c r="D118">
        <f>squishedLookup(B118)</f>
        <v>2.7870405957017899</v>
      </c>
      <c r="E118">
        <f>IF(ABS(C118-D118)&lt; 0.000001,0,1)</f>
        <v>0</v>
      </c>
    </row>
    <row r="119" spans="2:5" x14ac:dyDescent="0.35">
      <c r="B119" s="9" t="s">
        <v>254</v>
      </c>
      <c r="C119">
        <v>4.760842733190545</v>
      </c>
      <c r="D119">
        <f>squishedLookup(B119)</f>
        <v>4.7608427331905396</v>
      </c>
      <c r="E119">
        <f>IF(ABS(C119-D119)&lt; 0.000001,0,1)</f>
        <v>0</v>
      </c>
    </row>
    <row r="120" spans="2:5" x14ac:dyDescent="0.35">
      <c r="B120" s="9" t="s">
        <v>255</v>
      </c>
      <c r="C120">
        <v>0</v>
      </c>
      <c r="D120">
        <f>squishedLookup(B120)</f>
        <v>0</v>
      </c>
      <c r="E120">
        <f>IF(ABS(C120-D120)&lt; 0.000001,0,1)</f>
        <v>0</v>
      </c>
    </row>
    <row r="121" spans="2:5" x14ac:dyDescent="0.35">
      <c r="B121" s="9" t="s">
        <v>256</v>
      </c>
      <c r="C121">
        <v>4.049184828269901</v>
      </c>
      <c r="D121">
        <f>squishedLookup(B121)</f>
        <v>4.0491848282699001</v>
      </c>
      <c r="E121">
        <f>IF(ABS(C121-D121)&lt; 0.000001,0,1)</f>
        <v>0</v>
      </c>
    </row>
    <row r="122" spans="2:5" x14ac:dyDescent="0.35">
      <c r="B122" s="9" t="s">
        <v>257</v>
      </c>
      <c r="C122">
        <v>6.0945909160417031</v>
      </c>
      <c r="D122">
        <f>squishedLookup(B122)</f>
        <v>6.0945909160416996</v>
      </c>
      <c r="E122">
        <f>IF(ABS(C122-D122)&lt; 0.000001,0,1)</f>
        <v>0</v>
      </c>
    </row>
    <row r="123" spans="2:5" x14ac:dyDescent="0.35">
      <c r="B123" s="9" t="s">
        <v>258</v>
      </c>
      <c r="C123">
        <v>9</v>
      </c>
      <c r="D123">
        <f>squishedLookup(B123)</f>
        <v>9</v>
      </c>
      <c r="E123">
        <f>IF(ABS(C123-D123)&lt; 0.000001,0,1)</f>
        <v>0</v>
      </c>
    </row>
    <row r="124" spans="2:5" x14ac:dyDescent="0.35">
      <c r="B124" s="9" t="s">
        <v>259</v>
      </c>
      <c r="C124">
        <v>0</v>
      </c>
      <c r="D124">
        <f>squishedLookup(B124)</f>
        <v>0</v>
      </c>
      <c r="E124">
        <f>IF(ABS(C124-D124)&lt; 0.000001,0,1)</f>
        <v>0</v>
      </c>
    </row>
    <row r="125" spans="2:5" x14ac:dyDescent="0.35">
      <c r="B125" s="9" t="s">
        <v>260</v>
      </c>
      <c r="C125">
        <v>1757.0229844103737</v>
      </c>
      <c r="D125">
        <f>squishedLookup(B125)</f>
        <v>1757.0229844103701</v>
      </c>
      <c r="E125">
        <f>IF(ABS(C125-D125)&lt; 0.000001,0,1)</f>
        <v>0</v>
      </c>
    </row>
    <row r="126" spans="2:5" x14ac:dyDescent="0.35">
      <c r="B126" s="9" t="s">
        <v>261</v>
      </c>
      <c r="C126">
        <v>2466.7467772957793</v>
      </c>
      <c r="D126">
        <f>squishedLookup(B126)</f>
        <v>2466.7467772957798</v>
      </c>
      <c r="E126">
        <f>IF(ABS(C126-D126)&lt; 0.000001,0,1)</f>
        <v>0</v>
      </c>
    </row>
    <row r="127" spans="2:5" x14ac:dyDescent="0.35">
      <c r="B127" s="9" t="s">
        <v>262</v>
      </c>
      <c r="C127">
        <v>4688.6956993980075</v>
      </c>
      <c r="D127">
        <f>squishedLookup(B127)</f>
        <v>4688.6956993980102</v>
      </c>
      <c r="E127">
        <f>IF(ABS(C127-D127)&lt; 0.000001,0,1)</f>
        <v>0</v>
      </c>
    </row>
  </sheetData>
  <pageMargins left="0.7" right="0.7" top="0.75" bottom="0.75" header="0.3" footer="0.3"/>
  <pageSetup orientation="portrait" r:id="rId1"/>
  <legacyDrawing r:id="rId2"/>
  <tableParts count="1">
    <tablePart r:id="rId3"/>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FE810B-E8A4-4263-B203-D92CC3C98A30}">
  <sheetPr codeName="Sheet18"/>
  <dimension ref="A1:U111"/>
  <sheetViews>
    <sheetView topLeftCell="A4" workbookViewId="0">
      <selection activeCell="E17" sqref="E17"/>
    </sheetView>
  </sheetViews>
  <sheetFormatPr defaultRowHeight="14.5" x14ac:dyDescent="0.35"/>
  <cols>
    <col min="1" max="1" width="18.6328125" customWidth="1"/>
    <col min="2" max="2" width="11.1796875" customWidth="1"/>
    <col min="16" max="16" width="10.453125" customWidth="1"/>
    <col min="17" max="18" width="14.453125" bestFit="1" customWidth="1"/>
    <col min="19" max="23" width="14.453125" customWidth="1"/>
    <col min="24" max="24" width="11" bestFit="1" customWidth="1"/>
  </cols>
  <sheetData>
    <row r="1" spans="1:17" hidden="1" x14ac:dyDescent="0.35">
      <c r="A1" t="s">
        <v>80</v>
      </c>
      <c r="B1" t="s">
        <v>81</v>
      </c>
    </row>
    <row r="2" spans="1:17" hidden="1" x14ac:dyDescent="0.35">
      <c r="A2" t="s">
        <v>80</v>
      </c>
    </row>
    <row r="3" spans="1:17" hidden="1" x14ac:dyDescent="0.35">
      <c r="A3" t="s">
        <v>80</v>
      </c>
    </row>
    <row r="4" spans="1:17" x14ac:dyDescent="0.35">
      <c r="A4" s="5" t="s">
        <v>270</v>
      </c>
      <c r="L4" t="s">
        <v>11</v>
      </c>
      <c r="M4" t="s">
        <v>12</v>
      </c>
      <c r="N4" t="s">
        <v>13</v>
      </c>
      <c r="O4" t="s">
        <v>5</v>
      </c>
      <c r="P4" t="s">
        <v>4</v>
      </c>
      <c r="Q4" t="s">
        <v>3</v>
      </c>
    </row>
    <row r="5" spans="1:17" x14ac:dyDescent="0.35">
      <c r="A5" s="18" t="s">
        <v>271</v>
      </c>
      <c r="L5" t="s">
        <v>0</v>
      </c>
      <c r="M5" t="s">
        <v>0</v>
      </c>
      <c r="N5" t="s">
        <v>0</v>
      </c>
      <c r="O5">
        <v>0</v>
      </c>
      <c r="P5" s="1">
        <v>0</v>
      </c>
      <c r="Q5" s="1">
        <v>1</v>
      </c>
    </row>
    <row r="6" spans="1:17" x14ac:dyDescent="0.35">
      <c r="A6" t="s">
        <v>272</v>
      </c>
      <c r="L6" t="s">
        <v>0</v>
      </c>
      <c r="M6" t="s">
        <v>0</v>
      </c>
      <c r="N6" t="s">
        <v>0</v>
      </c>
      <c r="O6">
        <v>1</v>
      </c>
      <c r="P6" s="1">
        <v>1.5261890228122563</v>
      </c>
      <c r="Q6" s="1">
        <v>546318.83737814485</v>
      </c>
    </row>
    <row r="7" spans="1:17" x14ac:dyDescent="0.35">
      <c r="A7" t="s">
        <v>273</v>
      </c>
      <c r="L7" t="s">
        <v>0</v>
      </c>
      <c r="M7" t="s">
        <v>0</v>
      </c>
      <c r="N7" t="s">
        <v>0</v>
      </c>
      <c r="O7">
        <v>2</v>
      </c>
      <c r="P7" s="1">
        <v>3</v>
      </c>
      <c r="Q7" s="1">
        <v>1037307.0567016189</v>
      </c>
    </row>
    <row r="8" spans="1:17" x14ac:dyDescent="0.35">
      <c r="A8" t="s">
        <v>274</v>
      </c>
      <c r="L8" t="s">
        <v>0</v>
      </c>
      <c r="M8" t="s">
        <v>0</v>
      </c>
      <c r="N8" t="s">
        <v>0</v>
      </c>
      <c r="O8">
        <v>3</v>
      </c>
      <c r="P8" s="1">
        <v>6.5255204875320274</v>
      </c>
      <c r="Q8" s="1">
        <v>1299951.4226145379</v>
      </c>
    </row>
    <row r="9" spans="1:17" x14ac:dyDescent="0.35">
      <c r="A9" t="s">
        <v>275</v>
      </c>
      <c r="L9" t="s">
        <v>0</v>
      </c>
      <c r="M9" t="s">
        <v>0</v>
      </c>
      <c r="N9" t="s">
        <v>1</v>
      </c>
      <c r="O9">
        <v>0</v>
      </c>
      <c r="P9" s="1">
        <v>0</v>
      </c>
      <c r="Q9" s="1">
        <v>1</v>
      </c>
    </row>
    <row r="10" spans="1:17" x14ac:dyDescent="0.35">
      <c r="A10" t="s">
        <v>276</v>
      </c>
      <c r="L10" t="s">
        <v>0</v>
      </c>
      <c r="M10" t="s">
        <v>0</v>
      </c>
      <c r="N10" t="s">
        <v>1</v>
      </c>
      <c r="O10">
        <v>1</v>
      </c>
      <c r="P10" s="1">
        <v>457.89715574024206</v>
      </c>
      <c r="Q10" s="1">
        <v>6800948.9139359165</v>
      </c>
    </row>
    <row r="11" spans="1:17" x14ac:dyDescent="0.35">
      <c r="A11" t="s">
        <v>277</v>
      </c>
      <c r="L11" t="s">
        <v>0</v>
      </c>
      <c r="M11" t="s">
        <v>0</v>
      </c>
      <c r="N11" t="s">
        <v>1</v>
      </c>
      <c r="O11">
        <v>2</v>
      </c>
      <c r="P11" s="1">
        <v>665.41974818871267</v>
      </c>
      <c r="Q11" s="1">
        <v>30577029.059039161</v>
      </c>
    </row>
    <row r="12" spans="1:17" x14ac:dyDescent="0.35">
      <c r="A12" t="s">
        <v>279</v>
      </c>
      <c r="L12" t="s">
        <v>0</v>
      </c>
      <c r="M12" t="s">
        <v>0</v>
      </c>
      <c r="N12" t="s">
        <v>1</v>
      </c>
      <c r="O12">
        <v>3</v>
      </c>
      <c r="P12" s="1">
        <v>732.96431435521231</v>
      </c>
      <c r="Q12" s="1">
        <v>64587928.142886072</v>
      </c>
    </row>
    <row r="13" spans="1:17" x14ac:dyDescent="0.35">
      <c r="A13" t="s">
        <v>280</v>
      </c>
      <c r="L13" t="s">
        <v>0</v>
      </c>
      <c r="M13" t="s">
        <v>0</v>
      </c>
      <c r="N13" t="s">
        <v>2</v>
      </c>
      <c r="O13">
        <v>0</v>
      </c>
      <c r="P13" s="1">
        <v>0</v>
      </c>
      <c r="Q13" s="1">
        <v>1</v>
      </c>
    </row>
    <row r="14" spans="1:17" x14ac:dyDescent="0.35">
      <c r="A14" t="s">
        <v>281</v>
      </c>
      <c r="L14" t="s">
        <v>0</v>
      </c>
      <c r="M14" t="s">
        <v>0</v>
      </c>
      <c r="N14" t="s">
        <v>2</v>
      </c>
      <c r="O14">
        <v>1</v>
      </c>
      <c r="P14" s="1">
        <v>3592.9938823812686</v>
      </c>
      <c r="Q14" s="1">
        <v>36462125.075147875</v>
      </c>
    </row>
    <row r="15" spans="1:17" x14ac:dyDescent="0.35">
      <c r="L15" t="s">
        <v>0</v>
      </c>
      <c r="M15" t="s">
        <v>0</v>
      </c>
      <c r="N15" t="s">
        <v>2</v>
      </c>
      <c r="O15">
        <v>2</v>
      </c>
      <c r="P15" s="1">
        <v>4317.4518143079749</v>
      </c>
      <c r="Q15" s="1">
        <v>48438287.635287218</v>
      </c>
    </row>
    <row r="16" spans="1:17" x14ac:dyDescent="0.35">
      <c r="L16" t="s">
        <v>0</v>
      </c>
      <c r="M16" t="s">
        <v>0</v>
      </c>
      <c r="N16" t="s">
        <v>2</v>
      </c>
      <c r="O16">
        <v>3</v>
      </c>
      <c r="P16" s="1">
        <v>5145.536758387444</v>
      </c>
      <c r="Q16" s="1">
        <v>53042320.468393937</v>
      </c>
    </row>
    <row r="17" spans="1:17" x14ac:dyDescent="0.35">
      <c r="L17" t="s">
        <v>0</v>
      </c>
      <c r="M17" t="s">
        <v>1</v>
      </c>
      <c r="N17" t="s">
        <v>0</v>
      </c>
      <c r="O17">
        <v>0</v>
      </c>
      <c r="P17" s="1">
        <v>0</v>
      </c>
      <c r="Q17" s="1">
        <v>0.1</v>
      </c>
    </row>
    <row r="18" spans="1:17" x14ac:dyDescent="0.35">
      <c r="A18" t="s">
        <v>8</v>
      </c>
      <c r="B18" s="23" t="s">
        <v>0</v>
      </c>
      <c r="L18" t="s">
        <v>0</v>
      </c>
      <c r="M18" t="s">
        <v>1</v>
      </c>
      <c r="N18" t="s">
        <v>0</v>
      </c>
      <c r="O18">
        <v>1</v>
      </c>
      <c r="P18" s="1">
        <v>1786.3712131444156</v>
      </c>
      <c r="Q18" s="1">
        <v>0.22712616889310794</v>
      </c>
    </row>
    <row r="19" spans="1:17" x14ac:dyDescent="0.35">
      <c r="A19" t="s">
        <v>7</v>
      </c>
      <c r="B19" s="23" t="s">
        <v>0</v>
      </c>
      <c r="L19" t="s">
        <v>0</v>
      </c>
      <c r="M19" t="s">
        <v>1</v>
      </c>
      <c r="N19" t="s">
        <v>0</v>
      </c>
      <c r="O19">
        <v>2</v>
      </c>
      <c r="P19" s="1">
        <v>2650.1850237489953</v>
      </c>
      <c r="Q19" s="1">
        <v>0.37457202935904388</v>
      </c>
    </row>
    <row r="20" spans="1:17" x14ac:dyDescent="0.35">
      <c r="A20" t="s">
        <v>6</v>
      </c>
      <c r="B20" s="23" t="s">
        <v>1</v>
      </c>
      <c r="L20" t="s">
        <v>0</v>
      </c>
      <c r="M20" t="s">
        <v>1</v>
      </c>
      <c r="N20" t="s">
        <v>0</v>
      </c>
      <c r="O20">
        <v>3</v>
      </c>
      <c r="P20" s="1">
        <v>3118.6786834445575</v>
      </c>
      <c r="Q20" s="1">
        <v>0.758624074119986</v>
      </c>
    </row>
    <row r="21" spans="1:17" x14ac:dyDescent="0.35">
      <c r="A21" t="s">
        <v>287</v>
      </c>
      <c r="B21" s="23">
        <v>3</v>
      </c>
      <c r="L21" t="s">
        <v>0</v>
      </c>
      <c r="M21" t="s">
        <v>1</v>
      </c>
      <c r="N21" t="s">
        <v>1</v>
      </c>
      <c r="O21">
        <v>0</v>
      </c>
      <c r="P21" s="1">
        <v>0</v>
      </c>
      <c r="Q21" s="1">
        <v>1</v>
      </c>
    </row>
    <row r="22" spans="1:17" x14ac:dyDescent="0.35">
      <c r="A22" s="4"/>
      <c r="L22" t="s">
        <v>0</v>
      </c>
      <c r="M22" t="s">
        <v>1</v>
      </c>
      <c r="N22" t="s">
        <v>1</v>
      </c>
      <c r="O22">
        <v>1</v>
      </c>
      <c r="P22" s="1">
        <v>1068.9539981067799</v>
      </c>
      <c r="Q22" s="1">
        <v>60653.911812046506</v>
      </c>
    </row>
    <row r="23" spans="1:17" x14ac:dyDescent="0.35">
      <c r="A23" t="s">
        <v>278</v>
      </c>
      <c r="B23" s="25" cm="1">
        <f t="array" ref="B23">SUMPRODUCT(MAX((MyTestTable17[Field1]=B18)*(MyTestTable17[Field2]=B19)*(MyTestTable17[Field3]=B20)*(MyTestTable17[lookup]&lt;=B21)*(MyTestTable17[lookup])))</f>
        <v>0</v>
      </c>
      <c r="L23" t="s">
        <v>0</v>
      </c>
      <c r="M23" t="s">
        <v>1</v>
      </c>
      <c r="N23" t="s">
        <v>1</v>
      </c>
      <c r="O23">
        <v>2</v>
      </c>
      <c r="P23" s="1">
        <v>1643.0837159550099</v>
      </c>
      <c r="Q23" s="1">
        <v>137161.14910324372</v>
      </c>
    </row>
    <row r="24" spans="1:17" x14ac:dyDescent="0.35">
      <c r="A24" t="s">
        <v>9</v>
      </c>
      <c r="B24" s="26" cm="1">
        <f t="array" ref="B24">MultipleMatchInexactNumeric(Input_input1,Input_input2,Input_input3,B21)</f>
        <v>0</v>
      </c>
      <c r="L24" t="s">
        <v>0</v>
      </c>
      <c r="M24" t="s">
        <v>1</v>
      </c>
      <c r="N24" t="s">
        <v>1</v>
      </c>
      <c r="O24">
        <v>3</v>
      </c>
      <c r="P24" s="1">
        <v>1756.3905837575001</v>
      </c>
      <c r="Q24" s="1">
        <v>191434.0762295124</v>
      </c>
    </row>
    <row r="25" spans="1:17" x14ac:dyDescent="0.35">
      <c r="L25" t="s">
        <v>0</v>
      </c>
      <c r="M25" t="s">
        <v>1</v>
      </c>
      <c r="N25" t="s">
        <v>2</v>
      </c>
      <c r="O25">
        <v>0</v>
      </c>
      <c r="P25" s="1">
        <v>0</v>
      </c>
      <c r="Q25" s="1">
        <v>1</v>
      </c>
    </row>
    <row r="26" spans="1:17" x14ac:dyDescent="0.35">
      <c r="A26" t="s">
        <v>8</v>
      </c>
      <c r="B26" t="s">
        <v>7</v>
      </c>
      <c r="C26" t="s">
        <v>6</v>
      </c>
      <c r="D26" t="s">
        <v>63</v>
      </c>
      <c r="L26" t="s">
        <v>0</v>
      </c>
      <c r="M26" t="s">
        <v>1</v>
      </c>
      <c r="N26" t="s">
        <v>2</v>
      </c>
      <c r="O26">
        <v>1</v>
      </c>
      <c r="P26" s="1">
        <v>278.06175596617612</v>
      </c>
      <c r="Q26" s="1">
        <v>994545.03053114563</v>
      </c>
    </row>
    <row r="27" spans="1:17" x14ac:dyDescent="0.35">
      <c r="A27" t="s">
        <v>0</v>
      </c>
      <c r="B27" t="s">
        <v>0</v>
      </c>
      <c r="C27" t="s">
        <v>0</v>
      </c>
      <c r="D27">
        <v>1000</v>
      </c>
      <c r="L27" t="s">
        <v>0</v>
      </c>
      <c r="M27" t="s">
        <v>1</v>
      </c>
      <c r="N27" t="s">
        <v>2</v>
      </c>
      <c r="O27">
        <v>2</v>
      </c>
      <c r="P27" s="1">
        <v>587.95282824522997</v>
      </c>
      <c r="Q27" s="1">
        <v>1127401.9652630771</v>
      </c>
    </row>
    <row r="28" spans="1:17" x14ac:dyDescent="0.35">
      <c r="A28" t="s">
        <v>1</v>
      </c>
      <c r="B28" t="s">
        <v>2</v>
      </c>
      <c r="C28" t="s">
        <v>2</v>
      </c>
      <c r="D28">
        <v>40</v>
      </c>
      <c r="L28" t="s">
        <v>0</v>
      </c>
      <c r="M28" t="s">
        <v>1</v>
      </c>
      <c r="N28" t="s">
        <v>2</v>
      </c>
      <c r="O28">
        <v>3</v>
      </c>
      <c r="P28" s="1">
        <v>1862.6122899355958</v>
      </c>
      <c r="Q28" s="1">
        <v>1377671.0267613917</v>
      </c>
    </row>
    <row r="29" spans="1:17" x14ac:dyDescent="0.35">
      <c r="A29" t="s">
        <v>2</v>
      </c>
      <c r="D29" s="24">
        <v>10000</v>
      </c>
      <c r="L29" t="s">
        <v>0</v>
      </c>
      <c r="M29" t="s">
        <v>2</v>
      </c>
      <c r="N29" t="s">
        <v>0</v>
      </c>
      <c r="O29">
        <v>0</v>
      </c>
      <c r="P29" s="1">
        <v>0</v>
      </c>
      <c r="Q29" s="1">
        <v>1</v>
      </c>
    </row>
    <row r="30" spans="1:17" x14ac:dyDescent="0.35">
      <c r="L30" t="s">
        <v>0</v>
      </c>
      <c r="M30" t="s">
        <v>2</v>
      </c>
      <c r="N30" t="s">
        <v>0</v>
      </c>
      <c r="O30">
        <v>1</v>
      </c>
      <c r="P30" s="1">
        <v>112.88403832055414</v>
      </c>
      <c r="Q30" s="1">
        <v>2753.2131779106417</v>
      </c>
    </row>
    <row r="31" spans="1:17" x14ac:dyDescent="0.35">
      <c r="L31" t="s">
        <v>0</v>
      </c>
      <c r="M31" t="s">
        <v>2</v>
      </c>
      <c r="N31" t="s">
        <v>0</v>
      </c>
      <c r="O31">
        <v>2</v>
      </c>
      <c r="P31" s="1">
        <v>349.37047016031266</v>
      </c>
      <c r="Q31" s="1">
        <v>3101.589411034814</v>
      </c>
    </row>
    <row r="32" spans="1:17" x14ac:dyDescent="0.35">
      <c r="I32" t="s">
        <v>79</v>
      </c>
      <c r="L32" t="s">
        <v>0</v>
      </c>
      <c r="M32" t="s">
        <v>2</v>
      </c>
      <c r="N32" t="s">
        <v>0</v>
      </c>
      <c r="O32">
        <v>3</v>
      </c>
      <c r="P32" s="1">
        <v>2378.2040176678197</v>
      </c>
      <c r="Q32" s="1">
        <v>4539.3154429614697</v>
      </c>
    </row>
    <row r="33" spans="1:17" x14ac:dyDescent="0.35">
      <c r="L33" t="s">
        <v>0</v>
      </c>
      <c r="M33" t="s">
        <v>2</v>
      </c>
      <c r="N33" t="s">
        <v>1</v>
      </c>
      <c r="O33">
        <v>0</v>
      </c>
      <c r="P33" s="1">
        <v>0</v>
      </c>
      <c r="Q33" s="1">
        <v>1</v>
      </c>
    </row>
    <row r="34" spans="1:17" x14ac:dyDescent="0.35">
      <c r="A34" s="27" t="s">
        <v>75</v>
      </c>
      <c r="B34" s="27"/>
      <c r="C34" s="27"/>
      <c r="D34" s="27"/>
      <c r="E34" s="7" t="s">
        <v>76</v>
      </c>
      <c r="F34" s="7" t="s">
        <v>77</v>
      </c>
      <c r="G34" s="7" t="s">
        <v>78</v>
      </c>
      <c r="L34" t="s">
        <v>0</v>
      </c>
      <c r="M34" t="s">
        <v>2</v>
      </c>
      <c r="N34" t="s">
        <v>1</v>
      </c>
      <c r="O34">
        <v>1</v>
      </c>
      <c r="P34" s="1">
        <v>129.2490594466469</v>
      </c>
      <c r="Q34" s="1">
        <v>492298374.75386935</v>
      </c>
    </row>
    <row r="35" spans="1:17" x14ac:dyDescent="0.35">
      <c r="A35" t="s">
        <v>8</v>
      </c>
      <c r="B35" t="s">
        <v>7</v>
      </c>
      <c r="C35" t="s">
        <v>6</v>
      </c>
      <c r="D35" t="s">
        <v>287</v>
      </c>
      <c r="E35" t="s">
        <v>278</v>
      </c>
      <c r="F35" t="s">
        <v>278</v>
      </c>
      <c r="G35" t="s">
        <v>278</v>
      </c>
      <c r="I35" t="s">
        <v>79</v>
      </c>
      <c r="J35">
        <f>SUM(G36:G71)</f>
        <v>0</v>
      </c>
      <c r="L35" t="s">
        <v>0</v>
      </c>
      <c r="M35" t="s">
        <v>2</v>
      </c>
      <c r="N35" t="s">
        <v>1</v>
      </c>
      <c r="O35">
        <v>2</v>
      </c>
      <c r="P35" s="1">
        <v>197.10315070279705</v>
      </c>
      <c r="Q35" s="1">
        <v>497782341.92626888</v>
      </c>
    </row>
    <row r="36" spans="1:17" x14ac:dyDescent="0.35">
      <c r="A36" s="9" t="s">
        <v>0</v>
      </c>
      <c r="B36" s="9" t="s">
        <v>0</v>
      </c>
      <c r="C36" s="9" t="s">
        <v>0</v>
      </c>
      <c r="D36" s="9">
        <v>1000</v>
      </c>
      <c r="E36">
        <v>6.5255204875320274</v>
      </c>
      <c r="F36">
        <f>MultipleMatchInexactNumeric(A36,B36,C36,D36)</f>
        <v>6.5255204875320301</v>
      </c>
      <c r="G36">
        <f>IF(ABS(E36-F36)&lt; 0.000001,0,1)</f>
        <v>0</v>
      </c>
      <c r="L36" t="s">
        <v>0</v>
      </c>
      <c r="M36" t="s">
        <v>2</v>
      </c>
      <c r="N36" t="s">
        <v>1</v>
      </c>
      <c r="O36">
        <v>3</v>
      </c>
      <c r="P36" s="1">
        <v>284.1446936821232</v>
      </c>
      <c r="Q36" s="1">
        <v>697695792.001284</v>
      </c>
    </row>
    <row r="37" spans="1:17" x14ac:dyDescent="0.35">
      <c r="A37" s="9" t="s">
        <v>0</v>
      </c>
      <c r="B37" s="9" t="s">
        <v>0</v>
      </c>
      <c r="C37" s="9" t="s">
        <v>0</v>
      </c>
      <c r="D37" s="9">
        <v>40</v>
      </c>
      <c r="E37">
        <v>6.5255204875320274</v>
      </c>
      <c r="F37">
        <f>MultipleMatchInexactNumeric(A37,B37,C37,D37)</f>
        <v>6.5255204875320301</v>
      </c>
      <c r="G37">
        <f>IF(ABS(E37-F37)&lt; 0.000001,0,1)</f>
        <v>0</v>
      </c>
      <c r="L37" t="s">
        <v>0</v>
      </c>
      <c r="M37" t="s">
        <v>2</v>
      </c>
      <c r="N37" t="s">
        <v>2</v>
      </c>
      <c r="O37">
        <v>0</v>
      </c>
      <c r="P37" s="1">
        <v>0</v>
      </c>
      <c r="Q37" s="1">
        <v>1</v>
      </c>
    </row>
    <row r="38" spans="1:17" x14ac:dyDescent="0.35">
      <c r="A38" s="9" t="s">
        <v>0</v>
      </c>
      <c r="B38" s="9" t="s">
        <v>0</v>
      </c>
      <c r="C38" s="9" t="s">
        <v>0</v>
      </c>
      <c r="D38" s="9">
        <v>10000</v>
      </c>
      <c r="E38">
        <v>6.5255204875320274</v>
      </c>
      <c r="F38">
        <f>MultipleMatchInexactNumeric(A38,B38,C38,D38)</f>
        <v>6.5255204875320301</v>
      </c>
      <c r="G38">
        <f>IF(ABS(E38-F38)&lt; 0.000001,0,1)</f>
        <v>0</v>
      </c>
      <c r="L38" t="s">
        <v>0</v>
      </c>
      <c r="M38" t="s">
        <v>2</v>
      </c>
      <c r="N38" t="s">
        <v>2</v>
      </c>
      <c r="O38">
        <v>1</v>
      </c>
      <c r="P38" s="1">
        <v>1944.3980527740302</v>
      </c>
      <c r="Q38" s="1">
        <v>31169.364696789249</v>
      </c>
    </row>
    <row r="39" spans="1:17" x14ac:dyDescent="0.35">
      <c r="A39" s="9" t="s">
        <v>0</v>
      </c>
      <c r="B39" s="9" t="s">
        <v>0</v>
      </c>
      <c r="C39" s="9" t="s">
        <v>2</v>
      </c>
      <c r="D39" s="9">
        <v>1000</v>
      </c>
      <c r="E39">
        <v>0</v>
      </c>
      <c r="F39">
        <f>MultipleMatchInexactNumeric(A39,B39,C39,D39)</f>
        <v>0</v>
      </c>
      <c r="G39">
        <f>IF(ABS(E39-F39)&lt; 0.000001,0,1)</f>
        <v>0</v>
      </c>
      <c r="L39" t="s">
        <v>0</v>
      </c>
      <c r="M39" t="s">
        <v>2</v>
      </c>
      <c r="N39" t="s">
        <v>2</v>
      </c>
      <c r="O39">
        <v>2</v>
      </c>
      <c r="P39" s="1">
        <v>5979.9346993100335</v>
      </c>
      <c r="Q39" s="1">
        <v>39786.88693888743</v>
      </c>
    </row>
    <row r="40" spans="1:17" x14ac:dyDescent="0.35">
      <c r="A40" s="9" t="s">
        <v>0</v>
      </c>
      <c r="B40" s="9" t="s">
        <v>0</v>
      </c>
      <c r="C40" s="9" t="s">
        <v>2</v>
      </c>
      <c r="D40" s="9">
        <v>40</v>
      </c>
      <c r="E40">
        <v>0</v>
      </c>
      <c r="F40">
        <f>MultipleMatchInexactNumeric(A40,B40,C40,D40)</f>
        <v>0</v>
      </c>
      <c r="G40">
        <f>IF(ABS(E40-F40)&lt; 0.000001,0,1)</f>
        <v>0</v>
      </c>
      <c r="L40" t="s">
        <v>0</v>
      </c>
      <c r="M40" t="s">
        <v>2</v>
      </c>
      <c r="N40" t="s">
        <v>2</v>
      </c>
      <c r="O40">
        <v>3</v>
      </c>
      <c r="P40" s="1">
        <v>9976.4162195488516</v>
      </c>
      <c r="Q40" s="1">
        <v>42802.149821908024</v>
      </c>
    </row>
    <row r="41" spans="1:17" x14ac:dyDescent="0.35">
      <c r="A41" s="9" t="s">
        <v>0</v>
      </c>
      <c r="B41" s="9" t="s">
        <v>0</v>
      </c>
      <c r="C41" s="9" t="s">
        <v>2</v>
      </c>
      <c r="D41" s="9">
        <v>10000</v>
      </c>
      <c r="E41">
        <v>5145.536758387444</v>
      </c>
      <c r="F41">
        <f>MultipleMatchInexactNumeric(A41,B41,C41,D41)</f>
        <v>5145.5367583874404</v>
      </c>
      <c r="G41">
        <f>IF(ABS(E41-F41)&lt; 0.000001,0,1)</f>
        <v>0</v>
      </c>
      <c r="L41" t="s">
        <v>1</v>
      </c>
      <c r="M41" t="s">
        <v>0</v>
      </c>
      <c r="N41" t="s">
        <v>0</v>
      </c>
      <c r="O41">
        <v>1</v>
      </c>
      <c r="P41" s="1">
        <v>50483.727912004491</v>
      </c>
      <c r="Q41" s="1">
        <v>14.645643749229539</v>
      </c>
    </row>
    <row r="42" spans="1:17" x14ac:dyDescent="0.35">
      <c r="A42" s="9" t="s">
        <v>0</v>
      </c>
      <c r="B42" s="9" t="s">
        <v>2</v>
      </c>
      <c r="C42" s="9" t="s">
        <v>0</v>
      </c>
      <c r="D42" s="9">
        <v>1000</v>
      </c>
      <c r="E42">
        <v>349.37047016031266</v>
      </c>
      <c r="F42">
        <f>MultipleMatchInexactNumeric(A42,B42,C42,D42)</f>
        <v>349.370470160313</v>
      </c>
      <c r="G42">
        <f>IF(ABS(E42-F42)&lt; 0.000001,0,1)</f>
        <v>0</v>
      </c>
      <c r="L42" t="s">
        <v>1</v>
      </c>
      <c r="M42" t="s">
        <v>0</v>
      </c>
      <c r="N42" t="s">
        <v>0</v>
      </c>
      <c r="O42">
        <v>2</v>
      </c>
      <c r="P42" s="1">
        <v>70854.229385690473</v>
      </c>
      <c r="Q42" s="1">
        <v>15.576829448940069</v>
      </c>
    </row>
    <row r="43" spans="1:17" x14ac:dyDescent="0.35">
      <c r="A43" s="9" t="s">
        <v>0</v>
      </c>
      <c r="B43" s="9" t="s">
        <v>2</v>
      </c>
      <c r="C43" s="9" t="s">
        <v>0</v>
      </c>
      <c r="D43" s="9">
        <v>40</v>
      </c>
      <c r="E43">
        <v>0</v>
      </c>
      <c r="F43">
        <f>MultipleMatchInexactNumeric(A43,B43,C43,D43)</f>
        <v>0</v>
      </c>
      <c r="G43">
        <f>IF(ABS(E43-F43)&lt; 0.000001,0,1)</f>
        <v>0</v>
      </c>
      <c r="L43" t="s">
        <v>1</v>
      </c>
      <c r="M43" t="s">
        <v>0</v>
      </c>
      <c r="N43" t="s">
        <v>0</v>
      </c>
      <c r="O43">
        <v>3</v>
      </c>
      <c r="P43" s="1">
        <v>73692.139723088141</v>
      </c>
      <c r="Q43" s="1">
        <v>16.193903967407252</v>
      </c>
    </row>
    <row r="44" spans="1:17" x14ac:dyDescent="0.35">
      <c r="A44" s="9" t="s">
        <v>0</v>
      </c>
      <c r="B44" s="9" t="s">
        <v>2</v>
      </c>
      <c r="C44" s="9" t="s">
        <v>0</v>
      </c>
      <c r="D44" s="9">
        <v>10000</v>
      </c>
      <c r="E44">
        <v>2378.2040176678197</v>
      </c>
      <c r="F44">
        <f>MultipleMatchInexactNumeric(A44,B44,C44,D44)</f>
        <v>2378.2040176678202</v>
      </c>
      <c r="G44">
        <f>IF(ABS(E44-F44)&lt; 0.000001,0,1)</f>
        <v>0</v>
      </c>
      <c r="L44" t="s">
        <v>1</v>
      </c>
      <c r="M44" t="s">
        <v>0</v>
      </c>
      <c r="N44" t="s">
        <v>1</v>
      </c>
      <c r="O44">
        <v>0</v>
      </c>
      <c r="P44" s="1">
        <v>0</v>
      </c>
      <c r="Q44" s="1">
        <v>1</v>
      </c>
    </row>
    <row r="45" spans="1:17" x14ac:dyDescent="0.35">
      <c r="A45" s="9" t="s">
        <v>0</v>
      </c>
      <c r="B45" s="9" t="s">
        <v>2</v>
      </c>
      <c r="C45" s="9" t="s">
        <v>2</v>
      </c>
      <c r="D45" s="9">
        <v>1000</v>
      </c>
      <c r="E45">
        <v>0</v>
      </c>
      <c r="F45">
        <f>MultipleMatchInexactNumeric(A45,B45,C45,D45)</f>
        <v>0</v>
      </c>
      <c r="G45">
        <f>IF(ABS(E45-F45)&lt; 0.000001,0,1)</f>
        <v>0</v>
      </c>
      <c r="L45" t="s">
        <v>1</v>
      </c>
      <c r="M45" t="s">
        <v>0</v>
      </c>
      <c r="N45" t="s">
        <v>1</v>
      </c>
      <c r="O45">
        <v>1</v>
      </c>
      <c r="P45" s="1">
        <v>2.4807518739444765</v>
      </c>
      <c r="Q45" s="1">
        <v>3238.7463303242307</v>
      </c>
    </row>
    <row r="46" spans="1:17" x14ac:dyDescent="0.35">
      <c r="A46" s="9" t="s">
        <v>0</v>
      </c>
      <c r="B46" s="9" t="s">
        <v>2</v>
      </c>
      <c r="C46" s="9" t="s">
        <v>2</v>
      </c>
      <c r="D46" s="9">
        <v>40</v>
      </c>
      <c r="E46">
        <v>0</v>
      </c>
      <c r="F46">
        <f>MultipleMatchInexactNumeric(A46,B46,C46,D46)</f>
        <v>0</v>
      </c>
      <c r="G46">
        <f>IF(ABS(E46-F46)&lt; 0.000001,0,1)</f>
        <v>0</v>
      </c>
      <c r="L46" t="s">
        <v>1</v>
      </c>
      <c r="M46" t="s">
        <v>0</v>
      </c>
      <c r="N46" t="s">
        <v>1</v>
      </c>
      <c r="O46">
        <v>2</v>
      </c>
      <c r="P46" s="1">
        <v>3.5399956870465266</v>
      </c>
      <c r="Q46" s="1">
        <v>4959.4936497493691</v>
      </c>
    </row>
    <row r="47" spans="1:17" x14ac:dyDescent="0.35">
      <c r="A47" s="9" t="s">
        <v>0</v>
      </c>
      <c r="B47" s="9" t="s">
        <v>2</v>
      </c>
      <c r="C47" s="9" t="s">
        <v>2</v>
      </c>
      <c r="D47" s="9">
        <v>10000</v>
      </c>
      <c r="E47">
        <v>9976.4162195488516</v>
      </c>
      <c r="F47">
        <f>MultipleMatchInexactNumeric(A47,B47,C47,D47)</f>
        <v>9976.4162195488498</v>
      </c>
      <c r="G47">
        <f>IF(ABS(E47-F47)&lt; 0.000001,0,1)</f>
        <v>0</v>
      </c>
      <c r="L47" t="s">
        <v>1</v>
      </c>
      <c r="M47" t="s">
        <v>0</v>
      </c>
      <c r="N47" t="s">
        <v>1</v>
      </c>
      <c r="O47">
        <v>3</v>
      </c>
      <c r="P47" s="1">
        <v>5.3186917042826574</v>
      </c>
      <c r="Q47" s="1">
        <v>12219.767854770258</v>
      </c>
    </row>
    <row r="48" spans="1:17" x14ac:dyDescent="0.35">
      <c r="A48" s="9" t="s">
        <v>1</v>
      </c>
      <c r="B48" s="9" t="s">
        <v>0</v>
      </c>
      <c r="C48" s="9" t="s">
        <v>0</v>
      </c>
      <c r="D48" s="9">
        <v>1000</v>
      </c>
      <c r="E48">
        <v>0</v>
      </c>
      <c r="F48">
        <f>MultipleMatchInexactNumeric(A48,B48,C48,D48)</f>
        <v>0</v>
      </c>
      <c r="G48">
        <f>IF(ABS(E48-F48)&lt; 0.000001,0,1)</f>
        <v>0</v>
      </c>
      <c r="L48" t="s">
        <v>1</v>
      </c>
      <c r="M48" t="s">
        <v>0</v>
      </c>
      <c r="N48" t="s">
        <v>2</v>
      </c>
      <c r="O48">
        <v>0</v>
      </c>
      <c r="P48" s="1">
        <v>0</v>
      </c>
      <c r="Q48" s="1">
        <v>1</v>
      </c>
    </row>
    <row r="49" spans="1:21" x14ac:dyDescent="0.35">
      <c r="A49" s="9" t="s">
        <v>1</v>
      </c>
      <c r="B49" s="9" t="s">
        <v>0</v>
      </c>
      <c r="C49" s="9" t="s">
        <v>0</v>
      </c>
      <c r="D49" s="9">
        <v>40</v>
      </c>
      <c r="E49">
        <v>0</v>
      </c>
      <c r="F49">
        <f>MultipleMatchInexactNumeric(A49,B49,C49,D49)</f>
        <v>0</v>
      </c>
      <c r="G49">
        <f>IF(ABS(E49-F49)&lt; 0.000001,0,1)</f>
        <v>0</v>
      </c>
      <c r="L49" t="s">
        <v>1</v>
      </c>
      <c r="M49" t="s">
        <v>0</v>
      </c>
      <c r="N49" t="s">
        <v>2</v>
      </c>
      <c r="O49">
        <v>1</v>
      </c>
      <c r="P49" s="1">
        <v>5.2610046638076966</v>
      </c>
      <c r="Q49" s="1">
        <v>203650.33207131701</v>
      </c>
    </row>
    <row r="50" spans="1:21" x14ac:dyDescent="0.35">
      <c r="A50" s="9" t="s">
        <v>1</v>
      </c>
      <c r="B50" s="9" t="s">
        <v>0</v>
      </c>
      <c r="C50" s="9" t="s">
        <v>0</v>
      </c>
      <c r="D50" s="9">
        <v>10000</v>
      </c>
      <c r="E50">
        <v>0</v>
      </c>
      <c r="F50">
        <f>MultipleMatchInexactNumeric(A50,B50,C50,D50)</f>
        <v>0</v>
      </c>
      <c r="G50">
        <f>IF(ABS(E50-F50)&lt; 0.000001,0,1)</f>
        <v>0</v>
      </c>
      <c r="L50" t="s">
        <v>1</v>
      </c>
      <c r="M50" t="s">
        <v>0</v>
      </c>
      <c r="N50" t="s">
        <v>2</v>
      </c>
      <c r="O50">
        <v>2</v>
      </c>
      <c r="P50" s="1">
        <v>8.5030935565335444</v>
      </c>
      <c r="Q50" s="1">
        <v>256067.63076211899</v>
      </c>
      <c r="U50" s="6"/>
    </row>
    <row r="51" spans="1:21" x14ac:dyDescent="0.35">
      <c r="A51" s="9" t="s">
        <v>1</v>
      </c>
      <c r="B51" s="9" t="s">
        <v>0</v>
      </c>
      <c r="C51" s="9" t="s">
        <v>2</v>
      </c>
      <c r="D51" s="9">
        <v>1000</v>
      </c>
      <c r="E51">
        <v>14.203542751488309</v>
      </c>
      <c r="F51">
        <f>MultipleMatchInexactNumeric(A51,B51,C51,D51)</f>
        <v>14.2035427514883</v>
      </c>
      <c r="G51">
        <f>IF(ABS(E51-F51)&lt; 0.000001,0,1)</f>
        <v>0</v>
      </c>
      <c r="L51" t="s">
        <v>1</v>
      </c>
      <c r="M51" t="s">
        <v>0</v>
      </c>
      <c r="N51" t="s">
        <v>2</v>
      </c>
      <c r="O51">
        <v>3</v>
      </c>
      <c r="P51" s="1">
        <v>14.203542751488309</v>
      </c>
      <c r="Q51" s="1">
        <v>292241.80813188077</v>
      </c>
    </row>
    <row r="52" spans="1:21" x14ac:dyDescent="0.35">
      <c r="A52" s="9" t="s">
        <v>1</v>
      </c>
      <c r="B52" s="9" t="s">
        <v>0</v>
      </c>
      <c r="C52" s="9" t="s">
        <v>2</v>
      </c>
      <c r="D52" s="9">
        <v>40</v>
      </c>
      <c r="E52">
        <v>14.203542751488309</v>
      </c>
      <c r="F52">
        <f>MultipleMatchInexactNumeric(A52,B52,C52,D52)</f>
        <v>14.2035427514883</v>
      </c>
      <c r="G52">
        <f>IF(ABS(E52-F52)&lt; 0.000001,0,1)</f>
        <v>0</v>
      </c>
      <c r="L52" t="s">
        <v>1</v>
      </c>
      <c r="M52" t="s">
        <v>1</v>
      </c>
      <c r="N52" t="s">
        <v>0</v>
      </c>
      <c r="O52">
        <v>0</v>
      </c>
      <c r="P52" s="1">
        <v>0</v>
      </c>
      <c r="Q52" s="1">
        <v>1</v>
      </c>
    </row>
    <row r="53" spans="1:21" x14ac:dyDescent="0.35">
      <c r="A53" s="9" t="s">
        <v>1</v>
      </c>
      <c r="B53" s="9" t="s">
        <v>0</v>
      </c>
      <c r="C53" s="9" t="s">
        <v>2</v>
      </c>
      <c r="D53" s="9">
        <v>10000</v>
      </c>
      <c r="E53">
        <v>14.203542751488309</v>
      </c>
      <c r="F53">
        <f>MultipleMatchInexactNumeric(A53,B53,C53,D53)</f>
        <v>14.2035427514883</v>
      </c>
      <c r="G53">
        <f>IF(ABS(E53-F53)&lt; 0.000001,0,1)</f>
        <v>0</v>
      </c>
      <c r="L53" t="s">
        <v>1</v>
      </c>
      <c r="M53" t="s">
        <v>1</v>
      </c>
      <c r="N53" t="s">
        <v>0</v>
      </c>
      <c r="O53">
        <v>1</v>
      </c>
      <c r="P53" s="1">
        <v>371.39932612569993</v>
      </c>
      <c r="Q53" s="1">
        <v>46.48373439255387</v>
      </c>
    </row>
    <row r="54" spans="1:21" x14ac:dyDescent="0.35">
      <c r="A54" s="9" t="s">
        <v>1</v>
      </c>
      <c r="B54" s="9" t="s">
        <v>2</v>
      </c>
      <c r="C54" s="9" t="s">
        <v>0</v>
      </c>
      <c r="D54" s="9">
        <v>1000</v>
      </c>
      <c r="E54">
        <v>740.44056101033595</v>
      </c>
      <c r="F54">
        <f>MultipleMatchInexactNumeric(A54,B54,C54,D54)</f>
        <v>740.44056101033595</v>
      </c>
      <c r="G54">
        <f>IF(ABS(E54-F54)&lt; 0.000001,0,1)</f>
        <v>0</v>
      </c>
      <c r="L54" t="s">
        <v>1</v>
      </c>
      <c r="M54" t="s">
        <v>1</v>
      </c>
      <c r="N54" t="s">
        <v>0</v>
      </c>
      <c r="O54">
        <v>2</v>
      </c>
      <c r="P54" s="1">
        <v>525.19371925760788</v>
      </c>
      <c r="Q54" s="1">
        <v>56.893980910799328</v>
      </c>
    </row>
    <row r="55" spans="1:21" x14ac:dyDescent="0.35">
      <c r="A55" s="9" t="s">
        <v>1</v>
      </c>
      <c r="B55" s="9" t="s">
        <v>2</v>
      </c>
      <c r="C55" s="9" t="s">
        <v>0</v>
      </c>
      <c r="D55" s="9">
        <v>40</v>
      </c>
      <c r="E55">
        <v>0</v>
      </c>
      <c r="F55">
        <f>MultipleMatchInexactNumeric(A55,B55,C55,D55)</f>
        <v>0</v>
      </c>
      <c r="G55">
        <f>IF(ABS(E55-F55)&lt; 0.000001,0,1)</f>
        <v>0</v>
      </c>
      <c r="L55" t="s">
        <v>1</v>
      </c>
      <c r="M55" t="s">
        <v>1</v>
      </c>
      <c r="N55" t="s">
        <v>0</v>
      </c>
      <c r="O55">
        <v>3</v>
      </c>
      <c r="P55" s="1">
        <v>621.9294586135677</v>
      </c>
      <c r="Q55" s="1">
        <v>71.268761877017184</v>
      </c>
    </row>
    <row r="56" spans="1:21" x14ac:dyDescent="0.35">
      <c r="A56" s="9" t="s">
        <v>1</v>
      </c>
      <c r="B56" s="9" t="s">
        <v>2</v>
      </c>
      <c r="C56" s="9" t="s">
        <v>0</v>
      </c>
      <c r="D56" s="9">
        <v>10000</v>
      </c>
      <c r="E56">
        <v>740.44056101033595</v>
      </c>
      <c r="F56">
        <f>MultipleMatchInexactNumeric(A56,B56,C56,D56)</f>
        <v>740.44056101033595</v>
      </c>
      <c r="G56">
        <f>IF(ABS(E56-F56)&lt; 0.000001,0,1)</f>
        <v>0</v>
      </c>
      <c r="L56" t="s">
        <v>1</v>
      </c>
      <c r="M56" t="s">
        <v>1</v>
      </c>
      <c r="N56" t="s">
        <v>1</v>
      </c>
      <c r="O56">
        <v>0</v>
      </c>
      <c r="P56" s="1">
        <v>0</v>
      </c>
      <c r="Q56" s="1">
        <v>1</v>
      </c>
    </row>
    <row r="57" spans="1:21" x14ac:dyDescent="0.35">
      <c r="A57" s="9" t="s">
        <v>1</v>
      </c>
      <c r="B57" s="9" t="s">
        <v>2</v>
      </c>
      <c r="C57" s="9" t="s">
        <v>2</v>
      </c>
      <c r="D57" s="9">
        <v>1000</v>
      </c>
      <c r="E57">
        <v>8.2619091128049185</v>
      </c>
      <c r="F57">
        <f>MultipleMatchInexactNumeric(A57,B57,C57,D57)</f>
        <v>8.2619091128049202</v>
      </c>
      <c r="G57">
        <f>IF(ABS(E57-F57)&lt; 0.000001,0,1)</f>
        <v>0</v>
      </c>
      <c r="L57" t="s">
        <v>1</v>
      </c>
      <c r="M57" t="s">
        <v>1</v>
      </c>
      <c r="N57" t="s">
        <v>1</v>
      </c>
      <c r="O57">
        <v>1</v>
      </c>
      <c r="P57" s="1">
        <v>519.88799083871697</v>
      </c>
      <c r="Q57" s="1">
        <v>320124.77738085127</v>
      </c>
    </row>
    <row r="58" spans="1:21" x14ac:dyDescent="0.35">
      <c r="A58" s="9" t="s">
        <v>1</v>
      </c>
      <c r="B58" s="9" t="s">
        <v>2</v>
      </c>
      <c r="C58" s="9" t="s">
        <v>2</v>
      </c>
      <c r="D58" s="9">
        <v>40</v>
      </c>
      <c r="E58">
        <v>8.2619091128049185</v>
      </c>
      <c r="F58">
        <f>MultipleMatchInexactNumeric(A58,B58,C58,D58)</f>
        <v>8.2619091128049202</v>
      </c>
      <c r="G58">
        <f>IF(ABS(E58-F58)&lt; 0.000001,0,1)</f>
        <v>0</v>
      </c>
      <c r="L58" t="s">
        <v>1</v>
      </c>
      <c r="M58" t="s">
        <v>1</v>
      </c>
      <c r="N58" t="s">
        <v>1</v>
      </c>
      <c r="O58">
        <v>2</v>
      </c>
      <c r="P58" s="1">
        <v>526.52405245594662</v>
      </c>
      <c r="Q58" s="1">
        <v>355372.59344571125</v>
      </c>
    </row>
    <row r="59" spans="1:21" x14ac:dyDescent="0.35">
      <c r="A59" s="9" t="s">
        <v>1</v>
      </c>
      <c r="B59" s="9" t="s">
        <v>2</v>
      </c>
      <c r="C59" s="9" t="s">
        <v>2</v>
      </c>
      <c r="D59" s="9">
        <v>10000</v>
      </c>
      <c r="E59">
        <v>8.2619091128049185</v>
      </c>
      <c r="F59">
        <f>MultipleMatchInexactNumeric(A59,B59,C59,D59)</f>
        <v>8.2619091128049202</v>
      </c>
      <c r="G59">
        <f>IF(ABS(E59-F59)&lt; 0.000001,0,1)</f>
        <v>0</v>
      </c>
      <c r="L59" t="s">
        <v>1</v>
      </c>
      <c r="M59" t="s">
        <v>1</v>
      </c>
      <c r="N59" t="s">
        <v>1</v>
      </c>
      <c r="O59">
        <v>3</v>
      </c>
      <c r="P59" s="1">
        <v>618.11766001930232</v>
      </c>
      <c r="Q59" s="1">
        <v>506386.85926206462</v>
      </c>
    </row>
    <row r="60" spans="1:21" x14ac:dyDescent="0.35">
      <c r="A60" s="9" t="s">
        <v>2</v>
      </c>
      <c r="B60" s="9" t="s">
        <v>0</v>
      </c>
      <c r="C60" s="9" t="s">
        <v>0</v>
      </c>
      <c r="D60" s="9">
        <v>1000</v>
      </c>
      <c r="E60">
        <v>329.02527865688</v>
      </c>
      <c r="F60">
        <f>MultipleMatchInexactNumeric(A60,B60,C60,D60)</f>
        <v>329.02527865688</v>
      </c>
      <c r="G60">
        <f>IF(ABS(E60-F60)&lt; 0.000001,0,1)</f>
        <v>0</v>
      </c>
      <c r="L60" t="s">
        <v>1</v>
      </c>
      <c r="M60" t="s">
        <v>1</v>
      </c>
      <c r="N60" t="s">
        <v>2</v>
      </c>
      <c r="O60">
        <v>0</v>
      </c>
      <c r="P60" s="1">
        <v>0</v>
      </c>
      <c r="Q60" s="1">
        <v>1</v>
      </c>
    </row>
    <row r="61" spans="1:21" x14ac:dyDescent="0.35">
      <c r="A61" s="9" t="s">
        <v>2</v>
      </c>
      <c r="B61" s="9" t="s">
        <v>0</v>
      </c>
      <c r="C61" s="9" t="s">
        <v>0</v>
      </c>
      <c r="D61" s="9">
        <v>40</v>
      </c>
      <c r="E61">
        <v>0</v>
      </c>
      <c r="F61">
        <f>MultipleMatchInexactNumeric(A61,B61,C61,D61)</f>
        <v>0</v>
      </c>
      <c r="G61">
        <f>IF(ABS(E61-F61)&lt; 0.000001,0,1)</f>
        <v>0</v>
      </c>
      <c r="L61" t="s">
        <v>1</v>
      </c>
      <c r="M61" t="s">
        <v>1</v>
      </c>
      <c r="N61" t="s">
        <v>2</v>
      </c>
      <c r="O61">
        <v>1</v>
      </c>
      <c r="P61" s="1">
        <v>1736.7797038684457</v>
      </c>
      <c r="Q61" s="1">
        <v>12.87471229305198</v>
      </c>
    </row>
    <row r="62" spans="1:21" x14ac:dyDescent="0.35">
      <c r="A62" s="9" t="s">
        <v>2</v>
      </c>
      <c r="B62" s="9" t="s">
        <v>0</v>
      </c>
      <c r="C62" s="9" t="s">
        <v>0</v>
      </c>
      <c r="D62" s="9">
        <v>10000</v>
      </c>
      <c r="E62">
        <v>329.02527865688</v>
      </c>
      <c r="F62">
        <f>MultipleMatchInexactNumeric(A62,B62,C62,D62)</f>
        <v>329.02527865688</v>
      </c>
      <c r="G62">
        <f>IF(ABS(E62-F62)&lt; 0.000001,0,1)</f>
        <v>0</v>
      </c>
      <c r="L62" t="s">
        <v>1</v>
      </c>
      <c r="M62" t="s">
        <v>1</v>
      </c>
      <c r="N62" t="s">
        <v>2</v>
      </c>
      <c r="O62">
        <v>2</v>
      </c>
      <c r="P62" s="1">
        <v>2347.9951809806389</v>
      </c>
      <c r="Q62" s="1">
        <v>18.315298363592774</v>
      </c>
    </row>
    <row r="63" spans="1:21" x14ac:dyDescent="0.35">
      <c r="A63" s="9" t="s">
        <v>2</v>
      </c>
      <c r="B63" s="9" t="s">
        <v>0</v>
      </c>
      <c r="C63" s="9" t="s">
        <v>2</v>
      </c>
      <c r="D63" s="9">
        <v>1000</v>
      </c>
      <c r="E63">
        <v>357.56914715059258</v>
      </c>
      <c r="F63">
        <f>MultipleMatchInexactNumeric(A63,B63,C63,D63)</f>
        <v>357.56914715059298</v>
      </c>
      <c r="G63">
        <f>IF(ABS(E63-F63)&lt; 0.000001,0,1)</f>
        <v>0</v>
      </c>
      <c r="L63" t="s">
        <v>1</v>
      </c>
      <c r="M63" t="s">
        <v>1</v>
      </c>
      <c r="N63" t="s">
        <v>2</v>
      </c>
      <c r="O63">
        <v>3</v>
      </c>
      <c r="P63" s="1">
        <v>2951.0177698249026</v>
      </c>
      <c r="Q63" s="1">
        <v>30.565287266593028</v>
      </c>
    </row>
    <row r="64" spans="1:21" x14ac:dyDescent="0.35">
      <c r="A64" s="9" t="s">
        <v>2</v>
      </c>
      <c r="B64" s="9" t="s">
        <v>0</v>
      </c>
      <c r="C64" s="9" t="s">
        <v>2</v>
      </c>
      <c r="D64" s="9">
        <v>40</v>
      </c>
      <c r="E64">
        <v>0</v>
      </c>
      <c r="F64">
        <f>MultipleMatchInexactNumeric(A64,B64,C64,D64)</f>
        <v>0</v>
      </c>
      <c r="G64">
        <f>IF(ABS(E64-F64)&lt; 0.000001,0,1)</f>
        <v>0</v>
      </c>
      <c r="L64" t="s">
        <v>1</v>
      </c>
      <c r="M64" t="s">
        <v>2</v>
      </c>
      <c r="N64" t="s">
        <v>0</v>
      </c>
      <c r="O64">
        <v>0</v>
      </c>
      <c r="P64" s="1">
        <v>0</v>
      </c>
      <c r="Q64" s="1">
        <v>1</v>
      </c>
    </row>
    <row r="65" spans="1:17" x14ac:dyDescent="0.35">
      <c r="A65" s="9" t="s">
        <v>2</v>
      </c>
      <c r="B65" s="9" t="s">
        <v>0</v>
      </c>
      <c r="C65" s="9" t="s">
        <v>2</v>
      </c>
      <c r="D65" s="9">
        <v>10000</v>
      </c>
      <c r="E65">
        <v>9240.1940859427687</v>
      </c>
      <c r="F65">
        <f>MultipleMatchInexactNumeric(A65,B65,C65,D65)</f>
        <v>9240.1940859427705</v>
      </c>
      <c r="G65">
        <f>IF(ABS(E65-F65)&lt; 0.000001,0,1)</f>
        <v>0</v>
      </c>
      <c r="L65" t="s">
        <v>1</v>
      </c>
      <c r="M65" t="s">
        <v>2</v>
      </c>
      <c r="N65" t="s">
        <v>0</v>
      </c>
      <c r="O65">
        <v>1</v>
      </c>
      <c r="P65" s="1">
        <v>534.61053936190672</v>
      </c>
      <c r="Q65" s="1">
        <v>818574.40221290139</v>
      </c>
    </row>
    <row r="66" spans="1:17" x14ac:dyDescent="0.35">
      <c r="A66" s="9" t="s">
        <v>2</v>
      </c>
      <c r="B66" s="9" t="s">
        <v>2</v>
      </c>
      <c r="C66" s="9" t="s">
        <v>0</v>
      </c>
      <c r="D66" s="9">
        <v>1000</v>
      </c>
      <c r="E66">
        <v>4.760842733190545</v>
      </c>
      <c r="F66">
        <f>MultipleMatchInexactNumeric(A66,B66,C66,D66)</f>
        <v>4.7608427331905396</v>
      </c>
      <c r="G66">
        <f>IF(ABS(E66-F66)&lt; 0.000001,0,1)</f>
        <v>0</v>
      </c>
      <c r="L66" t="s">
        <v>1</v>
      </c>
      <c r="M66" t="s">
        <v>2</v>
      </c>
      <c r="N66" t="s">
        <v>0</v>
      </c>
      <c r="O66">
        <v>2</v>
      </c>
      <c r="P66" s="1">
        <v>535.83743552267015</v>
      </c>
      <c r="Q66" s="1">
        <v>473429.77754060243</v>
      </c>
    </row>
    <row r="67" spans="1:17" x14ac:dyDescent="0.35">
      <c r="A67" s="9" t="s">
        <v>2</v>
      </c>
      <c r="B67" s="9" t="s">
        <v>2</v>
      </c>
      <c r="C67" s="9" t="s">
        <v>0</v>
      </c>
      <c r="D67" s="9">
        <v>40</v>
      </c>
      <c r="E67">
        <v>4.760842733190545</v>
      </c>
      <c r="F67">
        <f>MultipleMatchInexactNumeric(A67,B67,C67,D67)</f>
        <v>4.7608427331905396</v>
      </c>
      <c r="G67">
        <f>IF(ABS(E67-F67)&lt; 0.000001,0,1)</f>
        <v>0</v>
      </c>
      <c r="L67" t="s">
        <v>1</v>
      </c>
      <c r="M67" t="s">
        <v>2</v>
      </c>
      <c r="N67" t="s">
        <v>0</v>
      </c>
      <c r="O67">
        <v>3</v>
      </c>
      <c r="P67" s="1">
        <v>740.44056101033595</v>
      </c>
      <c r="Q67" s="1">
        <v>671275.63408292818</v>
      </c>
    </row>
    <row r="68" spans="1:17" x14ac:dyDescent="0.35">
      <c r="A68" s="9" t="s">
        <v>2</v>
      </c>
      <c r="B68" s="9" t="s">
        <v>2</v>
      </c>
      <c r="C68" s="9" t="s">
        <v>0</v>
      </c>
      <c r="D68" s="9">
        <v>10000</v>
      </c>
      <c r="E68">
        <v>4.760842733190545</v>
      </c>
      <c r="F68">
        <f>MultipleMatchInexactNumeric(A68,B68,C68,D68)</f>
        <v>4.7608427331905396</v>
      </c>
      <c r="G68">
        <f>IF(ABS(E68-F68)&lt; 0.000001,0,1)</f>
        <v>0</v>
      </c>
      <c r="L68" t="s">
        <v>1</v>
      </c>
      <c r="M68" t="s">
        <v>2</v>
      </c>
      <c r="N68" t="s">
        <v>1</v>
      </c>
      <c r="O68">
        <v>0</v>
      </c>
      <c r="P68" s="1">
        <v>0</v>
      </c>
      <c r="Q68" s="1">
        <v>1</v>
      </c>
    </row>
    <row r="69" spans="1:17" x14ac:dyDescent="0.35">
      <c r="A69" s="9" t="s">
        <v>2</v>
      </c>
      <c r="B69" s="9" t="s">
        <v>2</v>
      </c>
      <c r="C69" s="9" t="s">
        <v>2</v>
      </c>
      <c r="D69" s="9">
        <v>1000</v>
      </c>
      <c r="E69">
        <v>0</v>
      </c>
      <c r="F69">
        <f>MultipleMatchInexactNumeric(A69,B69,C69,D69)</f>
        <v>0</v>
      </c>
      <c r="G69">
        <f>IF(ABS(E69-F69)&lt; 0.000001,0,1)</f>
        <v>0</v>
      </c>
      <c r="L69" t="s">
        <v>1</v>
      </c>
      <c r="M69" t="s">
        <v>2</v>
      </c>
      <c r="N69" t="s">
        <v>1</v>
      </c>
      <c r="O69">
        <v>1</v>
      </c>
      <c r="P69" s="1">
        <v>873.90333670947098</v>
      </c>
      <c r="Q69" s="1">
        <v>5.5308464608446828</v>
      </c>
    </row>
    <row r="70" spans="1:17" x14ac:dyDescent="0.35">
      <c r="A70" s="9" t="s">
        <v>2</v>
      </c>
      <c r="B70" s="9" t="s">
        <v>2</v>
      </c>
      <c r="C70" s="9" t="s">
        <v>2</v>
      </c>
      <c r="D70" s="9">
        <v>40</v>
      </c>
      <c r="E70">
        <v>0</v>
      </c>
      <c r="F70">
        <f>MultipleMatchInexactNumeric(A70,B70,C70,D70)</f>
        <v>0</v>
      </c>
      <c r="G70">
        <f>IF(ABS(E70-F70)&lt; 0.000001,0,1)</f>
        <v>0</v>
      </c>
      <c r="L70" t="s">
        <v>1</v>
      </c>
      <c r="M70" t="s">
        <v>2</v>
      </c>
      <c r="N70" t="s">
        <v>1</v>
      </c>
      <c r="O70">
        <v>2</v>
      </c>
      <c r="P70" s="1">
        <v>1640.7421997836814</v>
      </c>
      <c r="Q70" s="1">
        <v>3.7891915013635131</v>
      </c>
    </row>
    <row r="71" spans="1:17" x14ac:dyDescent="0.35">
      <c r="A71" s="9" t="s">
        <v>2</v>
      </c>
      <c r="B71" s="9" t="s">
        <v>2</v>
      </c>
      <c r="C71" s="9" t="s">
        <v>2</v>
      </c>
      <c r="D71" s="9">
        <v>10000</v>
      </c>
      <c r="E71">
        <v>4688.6956993980075</v>
      </c>
      <c r="F71">
        <f>MultipleMatchInexactNumeric(A71,B71,C71,D71)</f>
        <v>4688.6956993980102</v>
      </c>
      <c r="G71">
        <f>IF(ABS(E71-F71)&lt; 0.000001,0,1)</f>
        <v>0</v>
      </c>
      <c r="L71" t="s">
        <v>1</v>
      </c>
      <c r="M71" t="s">
        <v>2</v>
      </c>
      <c r="N71" t="s">
        <v>1</v>
      </c>
      <c r="O71">
        <v>3</v>
      </c>
      <c r="P71" s="1">
        <v>2167.1256906430149</v>
      </c>
      <c r="Q71" s="1">
        <v>5.2369261422376665</v>
      </c>
    </row>
    <row r="72" spans="1:17" x14ac:dyDescent="0.35">
      <c r="L72" t="s">
        <v>1</v>
      </c>
      <c r="M72" t="s">
        <v>2</v>
      </c>
      <c r="N72" t="s">
        <v>2</v>
      </c>
      <c r="O72">
        <v>0</v>
      </c>
      <c r="P72" s="1">
        <v>0</v>
      </c>
      <c r="Q72" s="1">
        <v>1</v>
      </c>
    </row>
    <row r="73" spans="1:17" x14ac:dyDescent="0.35">
      <c r="L73" t="s">
        <v>1</v>
      </c>
      <c r="M73" t="s">
        <v>2</v>
      </c>
      <c r="N73" t="s">
        <v>2</v>
      </c>
      <c r="O73">
        <v>1</v>
      </c>
      <c r="P73" s="1">
        <v>4.5893843322318366</v>
      </c>
      <c r="Q73" s="1">
        <v>271.32608217273702</v>
      </c>
    </row>
    <row r="74" spans="1:17" x14ac:dyDescent="0.35">
      <c r="L74" t="s">
        <v>1</v>
      </c>
      <c r="M74" t="s">
        <v>2</v>
      </c>
      <c r="N74" t="s">
        <v>2</v>
      </c>
      <c r="O74">
        <v>2</v>
      </c>
      <c r="P74" s="1">
        <v>6.917525477163986</v>
      </c>
      <c r="Q74" s="1">
        <v>378.73130130993701</v>
      </c>
    </row>
    <row r="75" spans="1:17" x14ac:dyDescent="0.35">
      <c r="L75" t="s">
        <v>1</v>
      </c>
      <c r="M75" t="s">
        <v>2</v>
      </c>
      <c r="N75" t="s">
        <v>2</v>
      </c>
      <c r="O75">
        <v>3</v>
      </c>
      <c r="P75" s="1">
        <v>8.2619091128049185</v>
      </c>
      <c r="Q75" s="1">
        <v>418.03649604351335</v>
      </c>
    </row>
    <row r="76" spans="1:17" x14ac:dyDescent="0.35">
      <c r="L76" t="s">
        <v>2</v>
      </c>
      <c r="M76" t="s">
        <v>0</v>
      </c>
      <c r="N76" t="s">
        <v>0</v>
      </c>
      <c r="O76">
        <v>0</v>
      </c>
      <c r="P76" s="1">
        <v>0</v>
      </c>
      <c r="Q76" s="1">
        <v>1</v>
      </c>
    </row>
    <row r="77" spans="1:17" x14ac:dyDescent="0.35">
      <c r="L77" t="s">
        <v>2</v>
      </c>
      <c r="M77" t="s">
        <v>0</v>
      </c>
      <c r="N77" t="s">
        <v>0</v>
      </c>
      <c r="O77">
        <v>1</v>
      </c>
      <c r="P77" s="1">
        <v>169.76245902684471</v>
      </c>
      <c r="Q77" s="1">
        <v>11026500.943488406</v>
      </c>
    </row>
    <row r="78" spans="1:17" x14ac:dyDescent="0.35">
      <c r="L78" t="s">
        <v>2</v>
      </c>
      <c r="M78" t="s">
        <v>0</v>
      </c>
      <c r="N78" t="s">
        <v>0</v>
      </c>
      <c r="O78">
        <v>2</v>
      </c>
      <c r="P78" s="1">
        <v>260.35087688671661</v>
      </c>
      <c r="Q78" s="1">
        <v>26327365.012117598</v>
      </c>
    </row>
    <row r="79" spans="1:17" x14ac:dyDescent="0.35">
      <c r="L79" t="s">
        <v>2</v>
      </c>
      <c r="M79" t="s">
        <v>0</v>
      </c>
      <c r="N79" t="s">
        <v>0</v>
      </c>
      <c r="O79">
        <v>3</v>
      </c>
      <c r="P79" s="1">
        <v>329.02527865688</v>
      </c>
      <c r="Q79" s="1">
        <v>76072677.45279552</v>
      </c>
    </row>
    <row r="80" spans="1:17" x14ac:dyDescent="0.35">
      <c r="L80" t="s">
        <v>2</v>
      </c>
      <c r="M80" t="s">
        <v>0</v>
      </c>
      <c r="N80" t="s">
        <v>1</v>
      </c>
      <c r="O80">
        <v>0</v>
      </c>
      <c r="P80" s="1">
        <v>0</v>
      </c>
      <c r="Q80" s="1">
        <v>1</v>
      </c>
    </row>
    <row r="81" spans="12:17" x14ac:dyDescent="0.35">
      <c r="L81" t="s">
        <v>2</v>
      </c>
      <c r="M81" t="s">
        <v>0</v>
      </c>
      <c r="N81" t="s">
        <v>1</v>
      </c>
      <c r="O81">
        <v>1</v>
      </c>
      <c r="P81" s="1">
        <v>45281.487312221827</v>
      </c>
      <c r="Q81" s="1">
        <v>22988818.230815407</v>
      </c>
    </row>
    <row r="82" spans="12:17" x14ac:dyDescent="0.35">
      <c r="L82" t="s">
        <v>2</v>
      </c>
      <c r="M82" t="s">
        <v>0</v>
      </c>
      <c r="N82" t="s">
        <v>1</v>
      </c>
      <c r="O82">
        <v>2</v>
      </c>
      <c r="P82" s="1">
        <v>64311.555948999267</v>
      </c>
      <c r="Q82" s="1">
        <v>36179080.498874679</v>
      </c>
    </row>
    <row r="83" spans="12:17" x14ac:dyDescent="0.35">
      <c r="L83" t="s">
        <v>2</v>
      </c>
      <c r="M83" t="s">
        <v>0</v>
      </c>
      <c r="N83" t="s">
        <v>1</v>
      </c>
      <c r="O83">
        <v>3</v>
      </c>
      <c r="P83" s="1">
        <v>77218.254144733932</v>
      </c>
      <c r="Q83" s="1">
        <v>41616148.875773117</v>
      </c>
    </row>
    <row r="84" spans="12:17" x14ac:dyDescent="0.35">
      <c r="L84" t="s">
        <v>2</v>
      </c>
      <c r="M84" t="s">
        <v>0</v>
      </c>
      <c r="N84" t="s">
        <v>2</v>
      </c>
      <c r="O84">
        <v>0</v>
      </c>
      <c r="P84" s="1">
        <v>0</v>
      </c>
      <c r="Q84" s="1">
        <v>1</v>
      </c>
    </row>
    <row r="85" spans="12:17" x14ac:dyDescent="0.35">
      <c r="L85" t="s">
        <v>2</v>
      </c>
      <c r="M85" t="s">
        <v>0</v>
      </c>
      <c r="N85" t="s">
        <v>2</v>
      </c>
      <c r="O85">
        <v>1</v>
      </c>
      <c r="P85" s="1">
        <v>357.56914715059258</v>
      </c>
      <c r="Q85" s="1">
        <v>3.3623867508680561</v>
      </c>
    </row>
    <row r="86" spans="12:17" x14ac:dyDescent="0.35">
      <c r="L86" t="s">
        <v>2</v>
      </c>
      <c r="M86" t="s">
        <v>0</v>
      </c>
      <c r="N86" t="s">
        <v>2</v>
      </c>
      <c r="O86">
        <v>2</v>
      </c>
      <c r="P86" s="1">
        <v>4290.0529519584898</v>
      </c>
      <c r="Q86" s="1">
        <v>5.3319706053934741</v>
      </c>
    </row>
    <row r="87" spans="12:17" x14ac:dyDescent="0.35">
      <c r="L87" t="s">
        <v>2</v>
      </c>
      <c r="M87" t="s">
        <v>0</v>
      </c>
      <c r="N87" t="s">
        <v>2</v>
      </c>
      <c r="O87">
        <v>3</v>
      </c>
      <c r="P87" s="1">
        <v>9240.1940859427687</v>
      </c>
      <c r="Q87" s="1">
        <v>6.1781690159130553</v>
      </c>
    </row>
    <row r="88" spans="12:17" x14ac:dyDescent="0.35">
      <c r="L88" t="s">
        <v>2</v>
      </c>
      <c r="M88" t="s">
        <v>1</v>
      </c>
      <c r="N88" t="s">
        <v>0</v>
      </c>
      <c r="O88">
        <v>0</v>
      </c>
      <c r="P88" s="1">
        <v>0</v>
      </c>
      <c r="Q88" s="1">
        <v>1</v>
      </c>
    </row>
    <row r="89" spans="12:17" x14ac:dyDescent="0.35">
      <c r="L89" t="s">
        <v>2</v>
      </c>
      <c r="M89" t="s">
        <v>1</v>
      </c>
      <c r="N89" t="s">
        <v>0</v>
      </c>
      <c r="O89">
        <v>1</v>
      </c>
      <c r="P89" s="1">
        <v>4</v>
      </c>
      <c r="Q89" s="1">
        <v>57787.59890564072</v>
      </c>
    </row>
    <row r="90" spans="12:17" x14ac:dyDescent="0.35">
      <c r="L90" t="s">
        <v>2</v>
      </c>
      <c r="M90" t="s">
        <v>1</v>
      </c>
      <c r="N90" t="s">
        <v>0</v>
      </c>
      <c r="O90">
        <v>2</v>
      </c>
      <c r="P90" s="1">
        <v>6.2730518734120064</v>
      </c>
      <c r="Q90" s="1">
        <v>68318.461285329176</v>
      </c>
    </row>
    <row r="91" spans="12:17" x14ac:dyDescent="0.35">
      <c r="L91" t="s">
        <v>2</v>
      </c>
      <c r="M91" t="s">
        <v>1</v>
      </c>
      <c r="N91" t="s">
        <v>0</v>
      </c>
      <c r="O91">
        <v>3</v>
      </c>
      <c r="P91" s="1">
        <v>8.3739497243440049</v>
      </c>
      <c r="Q91" s="1">
        <v>124006.96649103881</v>
      </c>
    </row>
    <row r="92" spans="12:17" x14ac:dyDescent="0.35">
      <c r="L92" t="s">
        <v>2</v>
      </c>
      <c r="M92" t="s">
        <v>1</v>
      </c>
      <c r="N92" t="s">
        <v>1</v>
      </c>
      <c r="O92">
        <v>0</v>
      </c>
      <c r="P92" s="1">
        <v>0</v>
      </c>
      <c r="Q92" s="1">
        <v>1</v>
      </c>
    </row>
    <row r="93" spans="12:17" x14ac:dyDescent="0.35">
      <c r="L93" t="s">
        <v>2</v>
      </c>
      <c r="M93" t="s">
        <v>1</v>
      </c>
      <c r="N93" t="s">
        <v>1</v>
      </c>
      <c r="O93">
        <v>1</v>
      </c>
      <c r="P93" s="1">
        <v>4.0790346851490904</v>
      </c>
      <c r="Q93" s="1">
        <v>487.45835834889658</v>
      </c>
    </row>
    <row r="94" spans="12:17" x14ac:dyDescent="0.35">
      <c r="L94" t="s">
        <v>2</v>
      </c>
      <c r="M94" t="s">
        <v>1</v>
      </c>
      <c r="N94" t="s">
        <v>1</v>
      </c>
      <c r="O94">
        <v>2</v>
      </c>
      <c r="P94" s="1">
        <v>7.1174884139282417</v>
      </c>
      <c r="Q94" s="1">
        <v>324.55491919161261</v>
      </c>
    </row>
    <row r="95" spans="12:17" x14ac:dyDescent="0.35">
      <c r="L95" t="s">
        <v>2</v>
      </c>
      <c r="M95" t="s">
        <v>1</v>
      </c>
      <c r="N95" t="s">
        <v>1</v>
      </c>
      <c r="O95">
        <v>3</v>
      </c>
      <c r="P95" s="1">
        <v>8.1858124681884572</v>
      </c>
      <c r="Q95" s="1">
        <v>462.94208062296951</v>
      </c>
    </row>
    <row r="96" spans="12:17" x14ac:dyDescent="0.35">
      <c r="L96" t="s">
        <v>2</v>
      </c>
      <c r="M96" t="s">
        <v>1</v>
      </c>
      <c r="N96" t="s">
        <v>2</v>
      </c>
      <c r="O96">
        <v>0</v>
      </c>
      <c r="P96" s="1">
        <v>0</v>
      </c>
      <c r="Q96" s="1">
        <v>1</v>
      </c>
    </row>
    <row r="97" spans="12:17" x14ac:dyDescent="0.35">
      <c r="L97" t="s">
        <v>2</v>
      </c>
      <c r="M97" t="s">
        <v>1</v>
      </c>
      <c r="N97" t="s">
        <v>2</v>
      </c>
      <c r="O97">
        <v>1</v>
      </c>
      <c r="P97" s="1">
        <v>11.919228224531595</v>
      </c>
      <c r="Q97" s="1">
        <v>51.552067368712819</v>
      </c>
    </row>
    <row r="98" spans="12:17" x14ac:dyDescent="0.35">
      <c r="L98" t="s">
        <v>2</v>
      </c>
      <c r="M98" t="s">
        <v>1</v>
      </c>
      <c r="N98" t="s">
        <v>2</v>
      </c>
      <c r="O98">
        <v>2</v>
      </c>
      <c r="P98" s="1">
        <v>61.639136806336744</v>
      </c>
      <c r="Q98" s="1">
        <v>32.79178065103477</v>
      </c>
    </row>
    <row r="99" spans="12:17" x14ac:dyDescent="0.35">
      <c r="L99" t="s">
        <v>2</v>
      </c>
      <c r="M99" t="s">
        <v>1</v>
      </c>
      <c r="N99" t="s">
        <v>2</v>
      </c>
      <c r="O99">
        <v>3</v>
      </c>
      <c r="P99" s="1">
        <v>106.06842050306169</v>
      </c>
      <c r="Q99" s="1">
        <v>44.226401038674453</v>
      </c>
    </row>
    <row r="100" spans="12:17" x14ac:dyDescent="0.35">
      <c r="L100" t="s">
        <v>2</v>
      </c>
      <c r="M100" t="s">
        <v>2</v>
      </c>
      <c r="N100" t="s">
        <v>0</v>
      </c>
      <c r="O100">
        <v>0</v>
      </c>
      <c r="P100" s="1">
        <v>0</v>
      </c>
      <c r="Q100" s="1">
        <v>1</v>
      </c>
    </row>
    <row r="101" spans="12:17" x14ac:dyDescent="0.35">
      <c r="L101" t="s">
        <v>2</v>
      </c>
      <c r="M101" t="s">
        <v>2</v>
      </c>
      <c r="N101" t="s">
        <v>0</v>
      </c>
      <c r="O101">
        <v>1</v>
      </c>
      <c r="P101" s="1">
        <v>1.4749847974150934</v>
      </c>
      <c r="Q101" s="1">
        <v>52266617.048029259</v>
      </c>
    </row>
    <row r="102" spans="12:17" x14ac:dyDescent="0.35">
      <c r="L102" t="s">
        <v>2</v>
      </c>
      <c r="M102" t="s">
        <v>2</v>
      </c>
      <c r="N102" t="s">
        <v>0</v>
      </c>
      <c r="O102">
        <v>2</v>
      </c>
      <c r="P102" s="1">
        <v>2.7870405957017863</v>
      </c>
      <c r="Q102" s="1">
        <v>67229039.851606011</v>
      </c>
    </row>
    <row r="103" spans="12:17" x14ac:dyDescent="0.35">
      <c r="L103" t="s">
        <v>2</v>
      </c>
      <c r="M103" t="s">
        <v>2</v>
      </c>
      <c r="N103" t="s">
        <v>0</v>
      </c>
      <c r="O103">
        <v>3</v>
      </c>
      <c r="P103" s="1">
        <v>4.760842733190545</v>
      </c>
      <c r="Q103" s="1">
        <v>84505017.868354648</v>
      </c>
    </row>
    <row r="104" spans="12:17" x14ac:dyDescent="0.35">
      <c r="L104" t="s">
        <v>2</v>
      </c>
      <c r="M104" t="s">
        <v>2</v>
      </c>
      <c r="N104" t="s">
        <v>1</v>
      </c>
      <c r="O104">
        <v>0</v>
      </c>
      <c r="P104" s="1">
        <v>0</v>
      </c>
      <c r="Q104" s="1">
        <v>1</v>
      </c>
    </row>
    <row r="105" spans="12:17" x14ac:dyDescent="0.35">
      <c r="L105" t="s">
        <v>2</v>
      </c>
      <c r="M105" t="s">
        <v>2</v>
      </c>
      <c r="N105" t="s">
        <v>1</v>
      </c>
      <c r="O105">
        <v>1</v>
      </c>
      <c r="P105" s="1">
        <v>4.049184828269901</v>
      </c>
      <c r="Q105" s="1">
        <v>452073673.79274911</v>
      </c>
    </row>
    <row r="106" spans="12:17" x14ac:dyDescent="0.35">
      <c r="L106" t="s">
        <v>2</v>
      </c>
      <c r="M106" t="s">
        <v>2</v>
      </c>
      <c r="N106" t="s">
        <v>1</v>
      </c>
      <c r="O106">
        <v>2</v>
      </c>
      <c r="P106" s="1">
        <v>6.0945909160417031</v>
      </c>
      <c r="Q106" s="1">
        <v>470325176.57976329</v>
      </c>
    </row>
    <row r="107" spans="12:17" x14ac:dyDescent="0.35">
      <c r="L107" t="s">
        <v>2</v>
      </c>
      <c r="M107" t="s">
        <v>2</v>
      </c>
      <c r="N107" t="s">
        <v>1</v>
      </c>
      <c r="O107">
        <v>3</v>
      </c>
      <c r="P107" s="1">
        <v>9</v>
      </c>
      <c r="Q107" s="1">
        <v>508133821.4006716</v>
      </c>
    </row>
    <row r="108" spans="12:17" x14ac:dyDescent="0.35">
      <c r="L108" t="s">
        <v>2</v>
      </c>
      <c r="M108" t="s">
        <v>2</v>
      </c>
      <c r="N108" t="s">
        <v>2</v>
      </c>
      <c r="O108">
        <v>0</v>
      </c>
      <c r="P108" s="1">
        <v>0</v>
      </c>
      <c r="Q108" s="1">
        <v>1</v>
      </c>
    </row>
    <row r="109" spans="12:17" x14ac:dyDescent="0.35">
      <c r="L109" t="s">
        <v>2</v>
      </c>
      <c r="M109" t="s">
        <v>2</v>
      </c>
      <c r="N109" t="s">
        <v>2</v>
      </c>
      <c r="O109">
        <v>1</v>
      </c>
      <c r="P109" s="1">
        <v>1757.0229844103737</v>
      </c>
      <c r="Q109" s="1">
        <v>291.25214247518284</v>
      </c>
    </row>
    <row r="110" spans="12:17" x14ac:dyDescent="0.35">
      <c r="L110" t="s">
        <v>2</v>
      </c>
      <c r="M110" t="s">
        <v>2</v>
      </c>
      <c r="N110" t="s">
        <v>2</v>
      </c>
      <c r="O110">
        <v>2</v>
      </c>
      <c r="P110" s="1">
        <v>2466.7467772957793</v>
      </c>
      <c r="Q110" s="1">
        <v>339.64087400512534</v>
      </c>
    </row>
    <row r="111" spans="12:17" x14ac:dyDescent="0.35">
      <c r="L111" t="s">
        <v>2</v>
      </c>
      <c r="M111" t="s">
        <v>2</v>
      </c>
      <c r="N111" t="s">
        <v>2</v>
      </c>
      <c r="O111">
        <v>3</v>
      </c>
      <c r="P111" s="1">
        <v>4688.6956993980075</v>
      </c>
      <c r="Q111" s="1">
        <v>342.0241096241877</v>
      </c>
    </row>
  </sheetData>
  <mergeCells count="1">
    <mergeCell ref="A34:D34"/>
  </mergeCells>
  <pageMargins left="0.7" right="0.7" top="0.75" bottom="0.75" header="0.3" footer="0.3"/>
  <pageSetup orientation="portrait" r:id="rId1"/>
  <tableParts count="1">
    <tablePart r:id="rId2"/>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EA1827-8A17-47A9-BAF7-FA7DE01CBB76}">
  <sheetPr codeName="Sheet19"/>
  <dimension ref="A1:V112"/>
  <sheetViews>
    <sheetView topLeftCell="A8" workbookViewId="0">
      <selection activeCell="E13" sqref="E13"/>
    </sheetView>
  </sheetViews>
  <sheetFormatPr defaultRowHeight="14.5" x14ac:dyDescent="0.35"/>
  <cols>
    <col min="1" max="1" width="14.08984375" customWidth="1"/>
    <col min="2" max="2" width="14.26953125" customWidth="1"/>
    <col min="17" max="17" width="10.453125" customWidth="1"/>
    <col min="18" max="19" width="14.453125" bestFit="1" customWidth="1"/>
    <col min="20" max="24" width="14.453125" customWidth="1"/>
    <col min="25" max="25" width="11" bestFit="1" customWidth="1"/>
  </cols>
  <sheetData>
    <row r="1" spans="1:18" hidden="1" x14ac:dyDescent="0.35">
      <c r="A1" t="s">
        <v>80</v>
      </c>
      <c r="B1" t="s">
        <v>81</v>
      </c>
    </row>
    <row r="2" spans="1:18" hidden="1" x14ac:dyDescent="0.35">
      <c r="A2" t="s">
        <v>80</v>
      </c>
    </row>
    <row r="3" spans="1:18" hidden="1" x14ac:dyDescent="0.35">
      <c r="A3" t="s">
        <v>80</v>
      </c>
    </row>
    <row r="4" spans="1:18" x14ac:dyDescent="0.35">
      <c r="A4" s="4" t="s">
        <v>282</v>
      </c>
    </row>
    <row r="5" spans="1:18" x14ac:dyDescent="0.35">
      <c r="A5" t="s">
        <v>283</v>
      </c>
      <c r="M5" t="s">
        <v>11</v>
      </c>
      <c r="N5" t="s">
        <v>12</v>
      </c>
      <c r="O5" t="s">
        <v>13</v>
      </c>
      <c r="P5" t="s">
        <v>5</v>
      </c>
      <c r="Q5" t="s">
        <v>4</v>
      </c>
      <c r="R5" t="s">
        <v>3</v>
      </c>
    </row>
    <row r="6" spans="1:18" x14ac:dyDescent="0.35">
      <c r="A6" t="s">
        <v>284</v>
      </c>
      <c r="M6" t="s">
        <v>0</v>
      </c>
      <c r="N6" t="s">
        <v>0</v>
      </c>
      <c r="O6" t="s">
        <v>0</v>
      </c>
      <c r="P6">
        <v>0</v>
      </c>
      <c r="Q6" s="1">
        <v>0</v>
      </c>
      <c r="R6" s="1">
        <v>1</v>
      </c>
    </row>
    <row r="7" spans="1:18" x14ac:dyDescent="0.35">
      <c r="A7" t="s">
        <v>285</v>
      </c>
      <c r="M7" t="s">
        <v>0</v>
      </c>
      <c r="N7" t="s">
        <v>0</v>
      </c>
      <c r="O7" t="s">
        <v>0</v>
      </c>
      <c r="P7">
        <v>1</v>
      </c>
      <c r="Q7" s="1">
        <v>1.5261890228122563</v>
      </c>
      <c r="R7" s="1">
        <v>546318.83737814485</v>
      </c>
    </row>
    <row r="8" spans="1:18" x14ac:dyDescent="0.35">
      <c r="A8" t="s">
        <v>306</v>
      </c>
      <c r="M8" t="s">
        <v>0</v>
      </c>
      <c r="N8" t="s">
        <v>0</v>
      </c>
      <c r="O8" t="s">
        <v>0</v>
      </c>
      <c r="P8">
        <v>2</v>
      </c>
      <c r="Q8" s="1">
        <v>3</v>
      </c>
      <c r="R8" s="1">
        <v>1037307.0567016189</v>
      </c>
    </row>
    <row r="9" spans="1:18" x14ac:dyDescent="0.35">
      <c r="A9" t="s">
        <v>307</v>
      </c>
      <c r="M9" t="s">
        <v>0</v>
      </c>
      <c r="N9" t="s">
        <v>0</v>
      </c>
      <c r="O9" t="s">
        <v>0</v>
      </c>
      <c r="P9">
        <v>3</v>
      </c>
      <c r="Q9" s="1">
        <v>6.5255204875320274</v>
      </c>
      <c r="R9" s="1">
        <v>1299951.4226145379</v>
      </c>
    </row>
    <row r="10" spans="1:18" x14ac:dyDescent="0.35">
      <c r="M10" t="s">
        <v>0</v>
      </c>
      <c r="N10" t="s">
        <v>0</v>
      </c>
      <c r="O10" t="s">
        <v>1</v>
      </c>
      <c r="P10">
        <v>0</v>
      </c>
      <c r="Q10" s="1">
        <v>0</v>
      </c>
      <c r="R10" s="1">
        <v>1</v>
      </c>
    </row>
    <row r="11" spans="1:18" x14ac:dyDescent="0.35">
      <c r="A11" t="s">
        <v>8</v>
      </c>
      <c r="B11" s="23" t="s">
        <v>0</v>
      </c>
      <c r="M11" t="s">
        <v>0</v>
      </c>
      <c r="N11" t="s">
        <v>0</v>
      </c>
      <c r="O11" t="s">
        <v>1</v>
      </c>
      <c r="P11">
        <v>1</v>
      </c>
      <c r="Q11" s="1">
        <v>457.89715574024206</v>
      </c>
      <c r="R11" s="1">
        <v>6800948.9139359165</v>
      </c>
    </row>
    <row r="12" spans="1:18" x14ac:dyDescent="0.35">
      <c r="A12" t="s">
        <v>7</v>
      </c>
      <c r="B12" s="23" t="s">
        <v>0</v>
      </c>
      <c r="M12" t="s">
        <v>0</v>
      </c>
      <c r="N12" t="s">
        <v>0</v>
      </c>
      <c r="O12" t="s">
        <v>1</v>
      </c>
      <c r="P12">
        <v>2</v>
      </c>
      <c r="Q12" s="1">
        <v>665.41974818871267</v>
      </c>
      <c r="R12" s="1">
        <v>30577029.059039161</v>
      </c>
    </row>
    <row r="13" spans="1:18" x14ac:dyDescent="0.35">
      <c r="A13" t="s">
        <v>6</v>
      </c>
      <c r="B13" s="23" t="s">
        <v>1</v>
      </c>
      <c r="M13" t="s">
        <v>0</v>
      </c>
      <c r="N13" t="s">
        <v>0</v>
      </c>
      <c r="O13" t="s">
        <v>1</v>
      </c>
      <c r="P13">
        <v>3</v>
      </c>
      <c r="Q13" s="1">
        <v>732.96431435521231</v>
      </c>
      <c r="R13" s="1">
        <v>64587928.142886072</v>
      </c>
    </row>
    <row r="14" spans="1:18" x14ac:dyDescent="0.35">
      <c r="A14" t="s">
        <v>287</v>
      </c>
      <c r="B14" s="23">
        <v>500</v>
      </c>
      <c r="M14" t="s">
        <v>0</v>
      </c>
      <c r="N14" t="s">
        <v>0</v>
      </c>
      <c r="O14" t="s">
        <v>2</v>
      </c>
      <c r="P14">
        <v>0</v>
      </c>
      <c r="Q14" s="1">
        <v>0</v>
      </c>
      <c r="R14" s="1">
        <v>1</v>
      </c>
    </row>
    <row r="15" spans="1:18" x14ac:dyDescent="0.35">
      <c r="A15" s="4"/>
      <c r="M15" t="s">
        <v>0</v>
      </c>
      <c r="N15" t="s">
        <v>0</v>
      </c>
      <c r="O15" t="s">
        <v>2</v>
      </c>
      <c r="P15">
        <v>1</v>
      </c>
      <c r="Q15" s="1">
        <v>3592.9938823812686</v>
      </c>
      <c r="R15" s="1">
        <v>36462125.075147875</v>
      </c>
    </row>
    <row r="16" spans="1:18" x14ac:dyDescent="0.35">
      <c r="M16" t="s">
        <v>0</v>
      </c>
      <c r="N16" t="s">
        <v>0</v>
      </c>
      <c r="O16" t="s">
        <v>2</v>
      </c>
      <c r="P16">
        <v>2</v>
      </c>
      <c r="Q16" s="1">
        <v>4317.4518143079749</v>
      </c>
      <c r="R16" s="1">
        <v>48438287.635287218</v>
      </c>
    </row>
    <row r="17" spans="1:18" x14ac:dyDescent="0.35">
      <c r="M17" t="s">
        <v>0</v>
      </c>
      <c r="N17" t="s">
        <v>0</v>
      </c>
      <c r="O17" t="s">
        <v>2</v>
      </c>
      <c r="P17">
        <v>3</v>
      </c>
      <c r="Q17" s="1">
        <v>5145.536758387444</v>
      </c>
      <c r="R17" s="1">
        <v>53042320.468393937</v>
      </c>
    </row>
    <row r="18" spans="1:18" x14ac:dyDescent="0.35">
      <c r="M18" t="s">
        <v>0</v>
      </c>
      <c r="N18" t="s">
        <v>1</v>
      </c>
      <c r="O18" t="s">
        <v>0</v>
      </c>
      <c r="P18">
        <v>0</v>
      </c>
      <c r="Q18" s="1">
        <v>0</v>
      </c>
      <c r="R18" s="1">
        <v>0.1</v>
      </c>
    </row>
    <row r="19" spans="1:18" x14ac:dyDescent="0.35">
      <c r="A19" t="s">
        <v>282</v>
      </c>
      <c r="B19" s="22" cm="1">
        <f t="array" ref="B19">SUMPRODUCT(MAX((MyTestTable18[Field1]=B11)*(MyTestTable18[Field2]=B12)*(MyTestTable18[Field3]=B13)*(MyTestTable18[lookup]&lt;=B14)*(MyTestTable18[val])))</f>
        <v>6800948.9139359165</v>
      </c>
      <c r="M19" t="s">
        <v>0</v>
      </c>
      <c r="N19" t="s">
        <v>1</v>
      </c>
      <c r="O19" t="s">
        <v>0</v>
      </c>
      <c r="P19">
        <v>1</v>
      </c>
      <c r="Q19" s="1">
        <v>1786.3712131444156</v>
      </c>
      <c r="R19" s="1">
        <v>0.22712616889310794</v>
      </c>
    </row>
    <row r="20" spans="1:18" x14ac:dyDescent="0.35">
      <c r="M20" t="s">
        <v>0</v>
      </c>
      <c r="N20" t="s">
        <v>1</v>
      </c>
      <c r="O20" t="s">
        <v>0</v>
      </c>
      <c r="P20">
        <v>2</v>
      </c>
      <c r="Q20" s="1">
        <v>2650.1850237489953</v>
      </c>
      <c r="R20" s="1">
        <v>0.37457202935904388</v>
      </c>
    </row>
    <row r="21" spans="1:18" x14ac:dyDescent="0.35">
      <c r="M21" t="s">
        <v>0</v>
      </c>
      <c r="N21" t="s">
        <v>1</v>
      </c>
      <c r="O21" t="s">
        <v>0</v>
      </c>
      <c r="P21">
        <v>3</v>
      </c>
      <c r="Q21" s="1">
        <v>3118.6786834445575</v>
      </c>
      <c r="R21" s="1">
        <v>0.758624074119986</v>
      </c>
    </row>
    <row r="22" spans="1:18" x14ac:dyDescent="0.35">
      <c r="M22" t="s">
        <v>0</v>
      </c>
      <c r="N22" t="s">
        <v>1</v>
      </c>
      <c r="O22" t="s">
        <v>1</v>
      </c>
      <c r="P22">
        <v>0</v>
      </c>
      <c r="Q22" s="1">
        <v>0</v>
      </c>
      <c r="R22" s="1">
        <v>1</v>
      </c>
    </row>
    <row r="23" spans="1:18" x14ac:dyDescent="0.35">
      <c r="M23" t="s">
        <v>0</v>
      </c>
      <c r="N23" t="s">
        <v>1</v>
      </c>
      <c r="O23" t="s">
        <v>1</v>
      </c>
      <c r="P23">
        <v>1</v>
      </c>
      <c r="Q23" s="1">
        <v>1068.9539981067799</v>
      </c>
      <c r="R23" s="1">
        <v>60653.911812046506</v>
      </c>
    </row>
    <row r="24" spans="1:18" x14ac:dyDescent="0.35">
      <c r="M24" t="s">
        <v>0</v>
      </c>
      <c r="N24" t="s">
        <v>1</v>
      </c>
      <c r="O24" t="s">
        <v>1</v>
      </c>
      <c r="P24">
        <v>2</v>
      </c>
      <c r="Q24" s="1">
        <v>1643.0837159550099</v>
      </c>
      <c r="R24" s="1">
        <v>137161.14910324372</v>
      </c>
    </row>
    <row r="25" spans="1:18" x14ac:dyDescent="0.35">
      <c r="M25" t="s">
        <v>0</v>
      </c>
      <c r="N25" t="s">
        <v>1</v>
      </c>
      <c r="O25" t="s">
        <v>1</v>
      </c>
      <c r="P25">
        <v>3</v>
      </c>
      <c r="Q25" s="1">
        <v>1756.3905837575001</v>
      </c>
      <c r="R25" s="1">
        <v>191434.0762295124</v>
      </c>
    </row>
    <row r="26" spans="1:18" x14ac:dyDescent="0.35">
      <c r="A26" s="27" t="s">
        <v>75</v>
      </c>
      <c r="B26" s="27"/>
      <c r="C26" s="27"/>
      <c r="D26" s="27"/>
      <c r="E26" s="7" t="s">
        <v>76</v>
      </c>
      <c r="F26" s="7" t="s">
        <v>77</v>
      </c>
      <c r="G26" s="7" t="s">
        <v>78</v>
      </c>
      <c r="M26" t="s">
        <v>0</v>
      </c>
      <c r="N26" t="s">
        <v>1</v>
      </c>
      <c r="O26" t="s">
        <v>2</v>
      </c>
      <c r="P26">
        <v>0</v>
      </c>
      <c r="Q26" s="1">
        <v>0</v>
      </c>
      <c r="R26" s="1">
        <v>1</v>
      </c>
    </row>
    <row r="27" spans="1:18" x14ac:dyDescent="0.35">
      <c r="A27" t="s">
        <v>8</v>
      </c>
      <c r="B27" t="s">
        <v>7</v>
      </c>
      <c r="C27" t="s">
        <v>6</v>
      </c>
      <c r="D27" t="s">
        <v>287</v>
      </c>
      <c r="E27" t="s">
        <v>282</v>
      </c>
      <c r="F27" t="s">
        <v>282</v>
      </c>
      <c r="G27" t="s">
        <v>282</v>
      </c>
      <c r="I27" t="s">
        <v>79</v>
      </c>
      <c r="J27">
        <f>SUM(G28:G63)</f>
        <v>2</v>
      </c>
      <c r="M27" t="s">
        <v>0</v>
      </c>
      <c r="N27" t="s">
        <v>1</v>
      </c>
      <c r="O27" t="s">
        <v>2</v>
      </c>
      <c r="P27">
        <v>1</v>
      </c>
      <c r="Q27" s="1">
        <v>278.06175596617612</v>
      </c>
      <c r="R27" s="1">
        <v>994545.03053114563</v>
      </c>
    </row>
    <row r="28" spans="1:18" x14ac:dyDescent="0.35">
      <c r="A28" s="9" t="s">
        <v>0</v>
      </c>
      <c r="B28" s="9" t="s">
        <v>0</v>
      </c>
      <c r="C28" s="9" t="s">
        <v>0</v>
      </c>
      <c r="D28" s="9">
        <v>1000</v>
      </c>
      <c r="E28">
        <v>1299951.4226145379</v>
      </c>
      <c r="F28">
        <f>MultipleMatchInexactNumeric2(A28,B28,C28,D28)</f>
        <v>1299951.42261454</v>
      </c>
      <c r="G28">
        <f>IF(ABS(E28-F28)&lt; 0.000001,0,1)</f>
        <v>0</v>
      </c>
      <c r="M28" t="s">
        <v>0</v>
      </c>
      <c r="N28" t="s">
        <v>1</v>
      </c>
      <c r="O28" t="s">
        <v>2</v>
      </c>
      <c r="P28">
        <v>2</v>
      </c>
      <c r="Q28" s="1">
        <v>587.95282824522997</v>
      </c>
      <c r="R28" s="1">
        <v>1127401.9652630771</v>
      </c>
    </row>
    <row r="29" spans="1:18" x14ac:dyDescent="0.35">
      <c r="A29" s="9" t="s">
        <v>0</v>
      </c>
      <c r="B29" s="9" t="s">
        <v>0</v>
      </c>
      <c r="C29" s="9" t="s">
        <v>0</v>
      </c>
      <c r="D29" s="9">
        <v>40</v>
      </c>
      <c r="E29">
        <v>1299951.4226145379</v>
      </c>
      <c r="F29">
        <f>MultipleMatchInexactNumeric2(A29,B29,C29,D29)</f>
        <v>1299951.42261454</v>
      </c>
      <c r="G29">
        <f>IF(ABS(E29-F29)&lt; 0.000001,0,1)</f>
        <v>0</v>
      </c>
      <c r="M29" t="s">
        <v>0</v>
      </c>
      <c r="N29" t="s">
        <v>1</v>
      </c>
      <c r="O29" t="s">
        <v>2</v>
      </c>
      <c r="P29">
        <v>3</v>
      </c>
      <c r="Q29" s="1">
        <v>1862.6122899355958</v>
      </c>
      <c r="R29" s="1">
        <v>1377671.0267613917</v>
      </c>
    </row>
    <row r="30" spans="1:18" x14ac:dyDescent="0.35">
      <c r="A30" s="9" t="s">
        <v>0</v>
      </c>
      <c r="B30" s="9" t="s">
        <v>0</v>
      </c>
      <c r="C30" s="9" t="s">
        <v>0</v>
      </c>
      <c r="D30" s="9">
        <v>10000</v>
      </c>
      <c r="E30">
        <v>1299951.4226145379</v>
      </c>
      <c r="F30">
        <f>MultipleMatchInexactNumeric2(A30,B30,C30,D30)</f>
        <v>1299951.42261454</v>
      </c>
      <c r="G30">
        <f>IF(ABS(E30-F30)&lt; 0.000001,0,1)</f>
        <v>0</v>
      </c>
      <c r="M30" t="s">
        <v>0</v>
      </c>
      <c r="N30" t="s">
        <v>2</v>
      </c>
      <c r="O30" t="s">
        <v>0</v>
      </c>
      <c r="P30">
        <v>0</v>
      </c>
      <c r="Q30" s="1">
        <v>0</v>
      </c>
      <c r="R30" s="1">
        <v>1</v>
      </c>
    </row>
    <row r="31" spans="1:18" x14ac:dyDescent="0.35">
      <c r="A31" s="9" t="s">
        <v>0</v>
      </c>
      <c r="B31" s="9" t="s">
        <v>0</v>
      </c>
      <c r="C31" s="9" t="s">
        <v>2</v>
      </c>
      <c r="D31" s="9">
        <v>1000</v>
      </c>
      <c r="E31">
        <v>1</v>
      </c>
      <c r="F31">
        <f>MultipleMatchInexactNumeric2(A31,B31,C31,D31)</f>
        <v>1</v>
      </c>
      <c r="G31">
        <f>IF(ABS(E31-F31)&lt; 0.000001,0,1)</f>
        <v>0</v>
      </c>
      <c r="M31" t="s">
        <v>0</v>
      </c>
      <c r="N31" t="s">
        <v>2</v>
      </c>
      <c r="O31" t="s">
        <v>0</v>
      </c>
      <c r="P31">
        <v>1</v>
      </c>
      <c r="Q31" s="1">
        <v>112.88403832055414</v>
      </c>
      <c r="R31" s="1">
        <v>2753.2131779106417</v>
      </c>
    </row>
    <row r="32" spans="1:18" x14ac:dyDescent="0.35">
      <c r="A32" s="9" t="s">
        <v>0</v>
      </c>
      <c r="B32" s="9" t="s">
        <v>0</v>
      </c>
      <c r="C32" s="9" t="s">
        <v>2</v>
      </c>
      <c r="D32" s="9">
        <v>40</v>
      </c>
      <c r="E32">
        <v>1</v>
      </c>
      <c r="F32">
        <f>MultipleMatchInexactNumeric2(A32,B32,C32,D32)</f>
        <v>1</v>
      </c>
      <c r="G32">
        <f>IF(ABS(E32-F32)&lt; 0.000001,0,1)</f>
        <v>0</v>
      </c>
      <c r="M32" t="s">
        <v>0</v>
      </c>
      <c r="N32" t="s">
        <v>2</v>
      </c>
      <c r="O32" t="s">
        <v>0</v>
      </c>
      <c r="P32">
        <v>2</v>
      </c>
      <c r="Q32" s="1">
        <v>349.37047016031266</v>
      </c>
      <c r="R32" s="1">
        <v>3101.589411034814</v>
      </c>
    </row>
    <row r="33" spans="1:18" x14ac:dyDescent="0.35">
      <c r="A33" s="9" t="s">
        <v>0</v>
      </c>
      <c r="B33" s="9" t="s">
        <v>0</v>
      </c>
      <c r="C33" s="9" t="s">
        <v>2</v>
      </c>
      <c r="D33" s="9">
        <v>10000</v>
      </c>
      <c r="E33">
        <v>53042320.468393937</v>
      </c>
      <c r="F33">
        <f>MultipleMatchInexactNumeric2(A33,B33,C33,D33)</f>
        <v>53042320.4683939</v>
      </c>
      <c r="G33">
        <f>IF(ABS(E33-F33)&lt; 0.000001,0,1)</f>
        <v>0</v>
      </c>
      <c r="M33" t="s">
        <v>0</v>
      </c>
      <c r="N33" t="s">
        <v>2</v>
      </c>
      <c r="O33" t="s">
        <v>0</v>
      </c>
      <c r="P33">
        <v>3</v>
      </c>
      <c r="Q33" s="1">
        <v>2378.2040176678197</v>
      </c>
      <c r="R33" s="1">
        <v>4539.3154429614697</v>
      </c>
    </row>
    <row r="34" spans="1:18" x14ac:dyDescent="0.35">
      <c r="A34" s="9" t="s">
        <v>0</v>
      </c>
      <c r="B34" s="9" t="s">
        <v>2</v>
      </c>
      <c r="C34" s="9" t="s">
        <v>0</v>
      </c>
      <c r="D34" s="9">
        <v>1000</v>
      </c>
      <c r="E34">
        <v>3101.589411034814</v>
      </c>
      <c r="F34">
        <f>MultipleMatchInexactNumeric2(A34,B34,C34,D34)</f>
        <v>3101.5894110348099</v>
      </c>
      <c r="G34">
        <f>IF(ABS(E34-F34)&lt; 0.000001,0,1)</f>
        <v>0</v>
      </c>
      <c r="M34" t="s">
        <v>0</v>
      </c>
      <c r="N34" t="s">
        <v>2</v>
      </c>
      <c r="O34" t="s">
        <v>1</v>
      </c>
      <c r="P34">
        <v>0</v>
      </c>
      <c r="Q34" s="1">
        <v>0</v>
      </c>
      <c r="R34" s="1">
        <v>1</v>
      </c>
    </row>
    <row r="35" spans="1:18" x14ac:dyDescent="0.35">
      <c r="A35" s="9" t="s">
        <v>0</v>
      </c>
      <c r="B35" s="9" t="s">
        <v>2</v>
      </c>
      <c r="C35" s="9" t="s">
        <v>0</v>
      </c>
      <c r="D35" s="9">
        <v>40</v>
      </c>
      <c r="E35">
        <v>1</v>
      </c>
      <c r="F35">
        <f>MultipleMatchInexactNumeric2(A35,B35,C35,D35)</f>
        <v>1</v>
      </c>
      <c r="G35">
        <f>IF(ABS(E35-F35)&lt; 0.000001,0,1)</f>
        <v>0</v>
      </c>
      <c r="M35" t="s">
        <v>0</v>
      </c>
      <c r="N35" t="s">
        <v>2</v>
      </c>
      <c r="O35" t="s">
        <v>1</v>
      </c>
      <c r="P35">
        <v>1</v>
      </c>
      <c r="Q35" s="1">
        <v>129.2490594466469</v>
      </c>
      <c r="R35" s="1">
        <v>492298374.75386935</v>
      </c>
    </row>
    <row r="36" spans="1:18" x14ac:dyDescent="0.35">
      <c r="A36" s="9" t="s">
        <v>0</v>
      </c>
      <c r="B36" s="9" t="s">
        <v>2</v>
      </c>
      <c r="C36" s="9" t="s">
        <v>0</v>
      </c>
      <c r="D36" s="9">
        <v>10000</v>
      </c>
      <c r="E36">
        <v>4539.3154429614697</v>
      </c>
      <c r="F36">
        <f>MultipleMatchInexactNumeric2(A36,B36,C36,D36)</f>
        <v>4539.3154429614697</v>
      </c>
      <c r="G36">
        <f>IF(ABS(E36-F36)&lt; 0.000001,0,1)</f>
        <v>0</v>
      </c>
      <c r="M36" t="s">
        <v>0</v>
      </c>
      <c r="N36" t="s">
        <v>2</v>
      </c>
      <c r="O36" t="s">
        <v>1</v>
      </c>
      <c r="P36">
        <v>2</v>
      </c>
      <c r="Q36" s="1">
        <v>197.10315070279705</v>
      </c>
      <c r="R36" s="1">
        <v>497782341.92626888</v>
      </c>
    </row>
    <row r="37" spans="1:18" x14ac:dyDescent="0.35">
      <c r="A37" s="9" t="s">
        <v>0</v>
      </c>
      <c r="B37" s="9" t="s">
        <v>2</v>
      </c>
      <c r="C37" s="9" t="s">
        <v>2</v>
      </c>
      <c r="D37" s="9">
        <v>1000</v>
      </c>
      <c r="E37">
        <v>1</v>
      </c>
      <c r="F37">
        <f>MultipleMatchInexactNumeric2(A37,B37,C37,D37)</f>
        <v>1</v>
      </c>
      <c r="G37">
        <f>IF(ABS(E37-F37)&lt; 0.000001,0,1)</f>
        <v>0</v>
      </c>
      <c r="M37" t="s">
        <v>0</v>
      </c>
      <c r="N37" t="s">
        <v>2</v>
      </c>
      <c r="O37" t="s">
        <v>1</v>
      </c>
      <c r="P37">
        <v>3</v>
      </c>
      <c r="Q37" s="1">
        <v>284.1446936821232</v>
      </c>
      <c r="R37" s="1">
        <v>697695792.001284</v>
      </c>
    </row>
    <row r="38" spans="1:18" x14ac:dyDescent="0.35">
      <c r="A38" s="9" t="s">
        <v>0</v>
      </c>
      <c r="B38" s="9" t="s">
        <v>2</v>
      </c>
      <c r="C38" s="9" t="s">
        <v>2</v>
      </c>
      <c r="D38" s="9">
        <v>40</v>
      </c>
      <c r="E38">
        <v>1</v>
      </c>
      <c r="F38">
        <f>MultipleMatchInexactNumeric2(A38,B38,C38,D38)</f>
        <v>1</v>
      </c>
      <c r="G38">
        <f>IF(ABS(E38-F38)&lt; 0.000001,0,1)</f>
        <v>0</v>
      </c>
      <c r="M38" t="s">
        <v>0</v>
      </c>
      <c r="N38" t="s">
        <v>2</v>
      </c>
      <c r="O38" t="s">
        <v>2</v>
      </c>
      <c r="P38">
        <v>0</v>
      </c>
      <c r="Q38" s="1">
        <v>0</v>
      </c>
      <c r="R38" s="1">
        <v>1</v>
      </c>
    </row>
    <row r="39" spans="1:18" x14ac:dyDescent="0.35">
      <c r="A39" s="9" t="s">
        <v>0</v>
      </c>
      <c r="B39" s="9" t="s">
        <v>2</v>
      </c>
      <c r="C39" s="9" t="s">
        <v>2</v>
      </c>
      <c r="D39" s="9">
        <v>10000</v>
      </c>
      <c r="E39">
        <v>42802.149821908024</v>
      </c>
      <c r="F39">
        <f>MultipleMatchInexactNumeric2(A39,B39,C39,D39)</f>
        <v>42802.149821908002</v>
      </c>
      <c r="G39">
        <f>IF(ABS(E39-F39)&lt; 0.000001,0,1)</f>
        <v>0</v>
      </c>
      <c r="M39" t="s">
        <v>0</v>
      </c>
      <c r="N39" t="s">
        <v>2</v>
      </c>
      <c r="O39" t="s">
        <v>2</v>
      </c>
      <c r="P39">
        <v>1</v>
      </c>
      <c r="Q39" s="1">
        <v>1944.3980527740302</v>
      </c>
      <c r="R39" s="1">
        <v>31169.364696789249</v>
      </c>
    </row>
    <row r="40" spans="1:18" x14ac:dyDescent="0.35">
      <c r="A40" s="9" t="s">
        <v>1</v>
      </c>
      <c r="B40" s="9" t="s">
        <v>0</v>
      </c>
      <c r="C40" s="9" t="s">
        <v>0</v>
      </c>
      <c r="D40" s="9">
        <v>1000</v>
      </c>
      <c r="E40">
        <v>0</v>
      </c>
      <c r="F40">
        <f>MultipleMatchInexactNumeric2(A40,B40,C40,D40)</f>
        <v>0</v>
      </c>
      <c r="G40">
        <f>IF(ABS(E40-F40)&lt; 0.000001,0,1)</f>
        <v>0</v>
      </c>
      <c r="M40" t="s">
        <v>0</v>
      </c>
      <c r="N40" t="s">
        <v>2</v>
      </c>
      <c r="O40" t="s">
        <v>2</v>
      </c>
      <c r="P40">
        <v>2</v>
      </c>
      <c r="Q40" s="1">
        <v>5979.9346993100335</v>
      </c>
      <c r="R40" s="1">
        <v>39786.88693888743</v>
      </c>
    </row>
    <row r="41" spans="1:18" x14ac:dyDescent="0.35">
      <c r="A41" s="9" t="s">
        <v>1</v>
      </c>
      <c r="B41" s="9" t="s">
        <v>0</v>
      </c>
      <c r="C41" s="9" t="s">
        <v>0</v>
      </c>
      <c r="D41" s="9">
        <v>40</v>
      </c>
      <c r="E41">
        <v>0</v>
      </c>
      <c r="F41">
        <f>MultipleMatchInexactNumeric2(A41,B41,C41,D41)</f>
        <v>0</v>
      </c>
      <c r="G41">
        <f>IF(ABS(E41-F41)&lt; 0.000001,0,1)</f>
        <v>0</v>
      </c>
      <c r="M41" t="s">
        <v>0</v>
      </c>
      <c r="N41" t="s">
        <v>2</v>
      </c>
      <c r="O41" t="s">
        <v>2</v>
      </c>
      <c r="P41">
        <v>3</v>
      </c>
      <c r="Q41" s="1">
        <v>9976.4162195488516</v>
      </c>
      <c r="R41" s="1">
        <v>42802.149821908024</v>
      </c>
    </row>
    <row r="42" spans="1:18" x14ac:dyDescent="0.35">
      <c r="A42" s="9" t="s">
        <v>1</v>
      </c>
      <c r="B42" s="9" t="s">
        <v>0</v>
      </c>
      <c r="C42" s="9" t="s">
        <v>0</v>
      </c>
      <c r="D42" s="9">
        <v>10000</v>
      </c>
      <c r="E42">
        <v>0</v>
      </c>
      <c r="F42">
        <f>MultipleMatchInexactNumeric2(A42,B42,C42,D42)</f>
        <v>0</v>
      </c>
      <c r="G42">
        <f>IF(ABS(E42-F42)&lt; 0.000001,0,1)</f>
        <v>0</v>
      </c>
      <c r="M42" t="s">
        <v>1</v>
      </c>
      <c r="N42" t="s">
        <v>0</v>
      </c>
      <c r="O42" t="s">
        <v>0</v>
      </c>
      <c r="P42">
        <v>1</v>
      </c>
      <c r="Q42" s="1">
        <v>50483.727912004491</v>
      </c>
      <c r="R42" s="1">
        <v>14.645643749229539</v>
      </c>
    </row>
    <row r="43" spans="1:18" x14ac:dyDescent="0.35">
      <c r="A43" s="9" t="s">
        <v>1</v>
      </c>
      <c r="B43" s="9" t="s">
        <v>0</v>
      </c>
      <c r="C43" s="9" t="s">
        <v>2</v>
      </c>
      <c r="D43" s="9">
        <v>1000</v>
      </c>
      <c r="E43">
        <v>292241.80813188077</v>
      </c>
      <c r="F43">
        <f>MultipleMatchInexactNumeric2(A43,B43,C43,D43)</f>
        <v>292241.808131881</v>
      </c>
      <c r="G43">
        <f>IF(ABS(E43-F43)&lt; 0.000001,0,1)</f>
        <v>0</v>
      </c>
      <c r="M43" t="s">
        <v>1</v>
      </c>
      <c r="N43" t="s">
        <v>0</v>
      </c>
      <c r="O43" t="s">
        <v>0</v>
      </c>
      <c r="P43">
        <v>2</v>
      </c>
      <c r="Q43" s="1">
        <v>70854.229385690473</v>
      </c>
      <c r="R43" s="1">
        <v>15.576829448940069</v>
      </c>
    </row>
    <row r="44" spans="1:18" x14ac:dyDescent="0.35">
      <c r="A44" s="9" t="s">
        <v>1</v>
      </c>
      <c r="B44" s="9" t="s">
        <v>0</v>
      </c>
      <c r="C44" s="9" t="s">
        <v>2</v>
      </c>
      <c r="D44" s="9">
        <v>40</v>
      </c>
      <c r="E44">
        <v>292241.80813188077</v>
      </c>
      <c r="F44">
        <f>MultipleMatchInexactNumeric2(A44,B44,C44,D44)</f>
        <v>292241.808131881</v>
      </c>
      <c r="G44">
        <f>IF(ABS(E44-F44)&lt; 0.000001,0,1)</f>
        <v>0</v>
      </c>
      <c r="M44" t="s">
        <v>1</v>
      </c>
      <c r="N44" t="s">
        <v>0</v>
      </c>
      <c r="O44" t="s">
        <v>0</v>
      </c>
      <c r="P44">
        <v>3</v>
      </c>
      <c r="Q44" s="1">
        <v>73692.139723088141</v>
      </c>
      <c r="R44" s="1">
        <v>16.193903967407252</v>
      </c>
    </row>
    <row r="45" spans="1:18" x14ac:dyDescent="0.35">
      <c r="A45" s="9" t="s">
        <v>1</v>
      </c>
      <c r="B45" s="9" t="s">
        <v>0</v>
      </c>
      <c r="C45" s="9" t="s">
        <v>2</v>
      </c>
      <c r="D45" s="9">
        <v>10000</v>
      </c>
      <c r="E45">
        <v>292241.80813188077</v>
      </c>
      <c r="F45">
        <f>MultipleMatchInexactNumeric2(A45,B45,C45,D45)</f>
        <v>292241.808131881</v>
      </c>
      <c r="G45">
        <f>IF(ABS(E45-F45)&lt; 0.000001,0,1)</f>
        <v>0</v>
      </c>
      <c r="M45" t="s">
        <v>1</v>
      </c>
      <c r="N45" t="s">
        <v>0</v>
      </c>
      <c r="O45" t="s">
        <v>1</v>
      </c>
      <c r="P45">
        <v>0</v>
      </c>
      <c r="Q45" s="1">
        <v>0</v>
      </c>
      <c r="R45" s="1">
        <v>1</v>
      </c>
    </row>
    <row r="46" spans="1:18" x14ac:dyDescent="0.35">
      <c r="A46" s="9" t="s">
        <v>1</v>
      </c>
      <c r="B46" s="9" t="s">
        <v>2</v>
      </c>
      <c r="C46" s="9" t="s">
        <v>0</v>
      </c>
      <c r="D46" s="9">
        <v>1000</v>
      </c>
      <c r="E46">
        <v>818574.40221290139</v>
      </c>
      <c r="F46">
        <f>MultipleMatchInexactNumeric2(A46,B46,C46,D46)</f>
        <v>671275.63408292795</v>
      </c>
      <c r="G46">
        <f>IF(ABS(E46-F46)&lt; 0.000001,0,1)</f>
        <v>1</v>
      </c>
      <c r="M46" t="s">
        <v>1</v>
      </c>
      <c r="N46" t="s">
        <v>0</v>
      </c>
      <c r="O46" t="s">
        <v>1</v>
      </c>
      <c r="P46">
        <v>1</v>
      </c>
      <c r="Q46" s="1">
        <v>2.4807518739444765</v>
      </c>
      <c r="R46" s="1">
        <v>3238.7463303242307</v>
      </c>
    </row>
    <row r="47" spans="1:18" x14ac:dyDescent="0.35">
      <c r="A47" s="9" t="s">
        <v>1</v>
      </c>
      <c r="B47" s="9" t="s">
        <v>2</v>
      </c>
      <c r="C47" s="9" t="s">
        <v>0</v>
      </c>
      <c r="D47" s="9">
        <v>40</v>
      </c>
      <c r="E47">
        <v>1</v>
      </c>
      <c r="F47">
        <f>MultipleMatchInexactNumeric2(A47,B47,C47,D47)</f>
        <v>1</v>
      </c>
      <c r="G47">
        <f>IF(ABS(E47-F47)&lt; 0.000001,0,1)</f>
        <v>0</v>
      </c>
      <c r="M47" t="s">
        <v>1</v>
      </c>
      <c r="N47" t="s">
        <v>0</v>
      </c>
      <c r="O47" t="s">
        <v>1</v>
      </c>
      <c r="P47">
        <v>2</v>
      </c>
      <c r="Q47" s="1">
        <v>3.5399956870465266</v>
      </c>
      <c r="R47" s="1">
        <v>4959.4936497493691</v>
      </c>
    </row>
    <row r="48" spans="1:18" x14ac:dyDescent="0.35">
      <c r="A48" s="9" t="s">
        <v>1</v>
      </c>
      <c r="B48" s="9" t="s">
        <v>2</v>
      </c>
      <c r="C48" s="9" t="s">
        <v>0</v>
      </c>
      <c r="D48" s="9">
        <v>10000</v>
      </c>
      <c r="E48">
        <v>818574.40221290139</v>
      </c>
      <c r="F48">
        <f>MultipleMatchInexactNumeric2(A48,B48,C48,D48)</f>
        <v>671275.63408292795</v>
      </c>
      <c r="G48">
        <f>IF(ABS(E48-F48)&lt; 0.000001,0,1)</f>
        <v>1</v>
      </c>
      <c r="M48" t="s">
        <v>1</v>
      </c>
      <c r="N48" t="s">
        <v>0</v>
      </c>
      <c r="O48" t="s">
        <v>1</v>
      </c>
      <c r="P48">
        <v>3</v>
      </c>
      <c r="Q48" s="1">
        <v>5.3186917042826574</v>
      </c>
      <c r="R48" s="1">
        <v>12219.767854770258</v>
      </c>
    </row>
    <row r="49" spans="1:22" x14ac:dyDescent="0.35">
      <c r="A49" s="9" t="s">
        <v>1</v>
      </c>
      <c r="B49" s="9" t="s">
        <v>2</v>
      </c>
      <c r="C49" s="9" t="s">
        <v>2</v>
      </c>
      <c r="D49" s="9">
        <v>1000</v>
      </c>
      <c r="E49">
        <v>418.03649604351335</v>
      </c>
      <c r="F49">
        <f>MultipleMatchInexactNumeric2(A49,B49,C49,D49)</f>
        <v>418.03649604351301</v>
      </c>
      <c r="G49">
        <f>IF(ABS(E49-F49)&lt; 0.000001,0,1)</f>
        <v>0</v>
      </c>
      <c r="M49" t="s">
        <v>1</v>
      </c>
      <c r="N49" t="s">
        <v>0</v>
      </c>
      <c r="O49" t="s">
        <v>2</v>
      </c>
      <c r="P49">
        <v>0</v>
      </c>
      <c r="Q49" s="1">
        <v>0</v>
      </c>
      <c r="R49" s="1">
        <v>1</v>
      </c>
    </row>
    <row r="50" spans="1:22" x14ac:dyDescent="0.35">
      <c r="A50" s="9" t="s">
        <v>1</v>
      </c>
      <c r="B50" s="9" t="s">
        <v>2</v>
      </c>
      <c r="C50" s="9" t="s">
        <v>2</v>
      </c>
      <c r="D50" s="9">
        <v>40</v>
      </c>
      <c r="E50">
        <v>418.03649604351335</v>
      </c>
      <c r="F50">
        <f>MultipleMatchInexactNumeric2(A50,B50,C50,D50)</f>
        <v>418.03649604351301</v>
      </c>
      <c r="G50">
        <f>IF(ABS(E50-F50)&lt; 0.000001,0,1)</f>
        <v>0</v>
      </c>
      <c r="M50" t="s">
        <v>1</v>
      </c>
      <c r="N50" t="s">
        <v>0</v>
      </c>
      <c r="O50" t="s">
        <v>2</v>
      </c>
      <c r="P50">
        <v>1</v>
      </c>
      <c r="Q50" s="1">
        <v>5.2610046638076966</v>
      </c>
      <c r="R50" s="1">
        <v>203650.33207131701</v>
      </c>
      <c r="V50" s="6"/>
    </row>
    <row r="51" spans="1:22" x14ac:dyDescent="0.35">
      <c r="A51" s="9" t="s">
        <v>1</v>
      </c>
      <c r="B51" s="9" t="s">
        <v>2</v>
      </c>
      <c r="C51" s="9" t="s">
        <v>2</v>
      </c>
      <c r="D51" s="9">
        <v>10000</v>
      </c>
      <c r="E51">
        <v>418.03649604351335</v>
      </c>
      <c r="F51">
        <f>MultipleMatchInexactNumeric2(A51,B51,C51,D51)</f>
        <v>418.03649604351301</v>
      </c>
      <c r="G51">
        <f>IF(ABS(E51-F51)&lt; 0.000001,0,1)</f>
        <v>0</v>
      </c>
      <c r="M51" t="s">
        <v>1</v>
      </c>
      <c r="N51" t="s">
        <v>0</v>
      </c>
      <c r="O51" t="s">
        <v>2</v>
      </c>
      <c r="P51">
        <v>2</v>
      </c>
      <c r="Q51" s="1">
        <v>8.5030935565335444</v>
      </c>
      <c r="R51" s="1">
        <v>256067.63076211899</v>
      </c>
    </row>
    <row r="52" spans="1:22" x14ac:dyDescent="0.35">
      <c r="A52" s="9" t="s">
        <v>2</v>
      </c>
      <c r="B52" s="9" t="s">
        <v>0</v>
      </c>
      <c r="C52" s="9" t="s">
        <v>0</v>
      </c>
      <c r="D52" s="9">
        <v>1000</v>
      </c>
      <c r="E52">
        <v>76072677.45279552</v>
      </c>
      <c r="F52">
        <f>MultipleMatchInexactNumeric2(A52,B52,C52,D52)</f>
        <v>76072677.452795506</v>
      </c>
      <c r="G52">
        <f>IF(ABS(E52-F52)&lt; 0.000001,0,1)</f>
        <v>0</v>
      </c>
      <c r="M52" t="s">
        <v>1</v>
      </c>
      <c r="N52" t="s">
        <v>0</v>
      </c>
      <c r="O52" t="s">
        <v>2</v>
      </c>
      <c r="P52">
        <v>3</v>
      </c>
      <c r="Q52" s="1">
        <v>14.203542751488309</v>
      </c>
      <c r="R52" s="1">
        <v>292241.80813188077</v>
      </c>
    </row>
    <row r="53" spans="1:22" x14ac:dyDescent="0.35">
      <c r="A53" s="9" t="s">
        <v>2</v>
      </c>
      <c r="B53" s="9" t="s">
        <v>0</v>
      </c>
      <c r="C53" s="9" t="s">
        <v>0</v>
      </c>
      <c r="D53" s="9">
        <v>40</v>
      </c>
      <c r="E53">
        <v>1</v>
      </c>
      <c r="F53">
        <f>MultipleMatchInexactNumeric2(A53,B53,C53,D53)</f>
        <v>1</v>
      </c>
      <c r="G53">
        <f>IF(ABS(E53-F53)&lt; 0.000001,0,1)</f>
        <v>0</v>
      </c>
      <c r="M53" t="s">
        <v>1</v>
      </c>
      <c r="N53" t="s">
        <v>1</v>
      </c>
      <c r="O53" t="s">
        <v>0</v>
      </c>
      <c r="P53">
        <v>0</v>
      </c>
      <c r="Q53" s="1">
        <v>0</v>
      </c>
      <c r="R53" s="1">
        <v>1</v>
      </c>
    </row>
    <row r="54" spans="1:22" x14ac:dyDescent="0.35">
      <c r="A54" s="9" t="s">
        <v>2</v>
      </c>
      <c r="B54" s="9" t="s">
        <v>0</v>
      </c>
      <c r="C54" s="9" t="s">
        <v>0</v>
      </c>
      <c r="D54" s="9">
        <v>10000</v>
      </c>
      <c r="E54">
        <v>76072677.45279552</v>
      </c>
      <c r="F54">
        <f>MultipleMatchInexactNumeric2(A54,B54,C54,D54)</f>
        <v>76072677.452795506</v>
      </c>
      <c r="G54">
        <f>IF(ABS(E54-F54)&lt; 0.000001,0,1)</f>
        <v>0</v>
      </c>
      <c r="M54" t="s">
        <v>1</v>
      </c>
      <c r="N54" t="s">
        <v>1</v>
      </c>
      <c r="O54" t="s">
        <v>0</v>
      </c>
      <c r="P54">
        <v>1</v>
      </c>
      <c r="Q54" s="1">
        <v>371.39932612569993</v>
      </c>
      <c r="R54" s="1">
        <v>46.48373439255387</v>
      </c>
    </row>
    <row r="55" spans="1:22" x14ac:dyDescent="0.35">
      <c r="A55" s="9" t="s">
        <v>2</v>
      </c>
      <c r="B55" s="9" t="s">
        <v>0</v>
      </c>
      <c r="C55" s="9" t="s">
        <v>2</v>
      </c>
      <c r="D55" s="9">
        <v>1000</v>
      </c>
      <c r="E55">
        <v>3.3623867508680561</v>
      </c>
      <c r="F55">
        <f>MultipleMatchInexactNumeric2(A55,B55,C55,D55)</f>
        <v>3.36238675086806</v>
      </c>
      <c r="G55">
        <f>IF(ABS(E55-F55)&lt; 0.000001,0,1)</f>
        <v>0</v>
      </c>
      <c r="M55" t="s">
        <v>1</v>
      </c>
      <c r="N55" t="s">
        <v>1</v>
      </c>
      <c r="O55" t="s">
        <v>0</v>
      </c>
      <c r="P55">
        <v>2</v>
      </c>
      <c r="Q55" s="1">
        <v>525.19371925760788</v>
      </c>
      <c r="R55" s="1">
        <v>56.893980910799328</v>
      </c>
    </row>
    <row r="56" spans="1:22" x14ac:dyDescent="0.35">
      <c r="A56" s="9" t="s">
        <v>2</v>
      </c>
      <c r="B56" s="9" t="s">
        <v>0</v>
      </c>
      <c r="C56" s="9" t="s">
        <v>2</v>
      </c>
      <c r="D56" s="9">
        <v>40</v>
      </c>
      <c r="E56">
        <v>1</v>
      </c>
      <c r="F56">
        <f>MultipleMatchInexactNumeric2(A56,B56,C56,D56)</f>
        <v>1</v>
      </c>
      <c r="G56">
        <f>IF(ABS(E56-F56)&lt; 0.000001,0,1)</f>
        <v>0</v>
      </c>
      <c r="M56" t="s">
        <v>1</v>
      </c>
      <c r="N56" t="s">
        <v>1</v>
      </c>
      <c r="O56" t="s">
        <v>0</v>
      </c>
      <c r="P56">
        <v>3</v>
      </c>
      <c r="Q56" s="1">
        <v>621.9294586135677</v>
      </c>
      <c r="R56" s="1">
        <v>71.268761877017184</v>
      </c>
    </row>
    <row r="57" spans="1:22" x14ac:dyDescent="0.35">
      <c r="A57" s="9" t="s">
        <v>2</v>
      </c>
      <c r="B57" s="9" t="s">
        <v>0</v>
      </c>
      <c r="C57" s="9" t="s">
        <v>2</v>
      </c>
      <c r="D57" s="9">
        <v>10000</v>
      </c>
      <c r="E57">
        <v>6.1781690159130553</v>
      </c>
      <c r="F57">
        <f>MultipleMatchInexactNumeric2(A57,B57,C57,D57)</f>
        <v>6.1781690159130598</v>
      </c>
      <c r="G57">
        <f>IF(ABS(E57-F57)&lt; 0.000001,0,1)</f>
        <v>0</v>
      </c>
      <c r="M57" t="s">
        <v>1</v>
      </c>
      <c r="N57" t="s">
        <v>1</v>
      </c>
      <c r="O57" t="s">
        <v>1</v>
      </c>
      <c r="P57">
        <v>0</v>
      </c>
      <c r="Q57" s="1">
        <v>0</v>
      </c>
      <c r="R57" s="1">
        <v>1</v>
      </c>
    </row>
    <row r="58" spans="1:22" x14ac:dyDescent="0.35">
      <c r="A58" s="9" t="s">
        <v>2</v>
      </c>
      <c r="B58" s="9" t="s">
        <v>2</v>
      </c>
      <c r="C58" s="9" t="s">
        <v>0</v>
      </c>
      <c r="D58" s="9">
        <v>1000</v>
      </c>
      <c r="E58">
        <v>84505017.868354648</v>
      </c>
      <c r="F58">
        <f>MultipleMatchInexactNumeric2(A58,B58,C58,D58)</f>
        <v>84505017.868354604</v>
      </c>
      <c r="G58">
        <f>IF(ABS(E58-F58)&lt; 0.000001,0,1)</f>
        <v>0</v>
      </c>
      <c r="M58" t="s">
        <v>1</v>
      </c>
      <c r="N58" t="s">
        <v>1</v>
      </c>
      <c r="O58" t="s">
        <v>1</v>
      </c>
      <c r="P58">
        <v>1</v>
      </c>
      <c r="Q58" s="1">
        <v>519.88799083871697</v>
      </c>
      <c r="R58" s="1">
        <v>320124.77738085127</v>
      </c>
    </row>
    <row r="59" spans="1:22" x14ac:dyDescent="0.35">
      <c r="A59" s="9" t="s">
        <v>2</v>
      </c>
      <c r="B59" s="9" t="s">
        <v>2</v>
      </c>
      <c r="C59" s="9" t="s">
        <v>0</v>
      </c>
      <c r="D59" s="9">
        <v>40</v>
      </c>
      <c r="E59">
        <v>84505017.868354648</v>
      </c>
      <c r="F59">
        <f>MultipleMatchInexactNumeric2(A59,B59,C59,D59)</f>
        <v>84505017.868354604</v>
      </c>
      <c r="G59">
        <f>IF(ABS(E59-F59)&lt; 0.000001,0,1)</f>
        <v>0</v>
      </c>
      <c r="M59" t="s">
        <v>1</v>
      </c>
      <c r="N59" t="s">
        <v>1</v>
      </c>
      <c r="O59" t="s">
        <v>1</v>
      </c>
      <c r="P59">
        <v>2</v>
      </c>
      <c r="Q59" s="1">
        <v>526.52405245594662</v>
      </c>
      <c r="R59" s="1">
        <v>355372.59344571125</v>
      </c>
    </row>
    <row r="60" spans="1:22" x14ac:dyDescent="0.35">
      <c r="A60" s="9" t="s">
        <v>2</v>
      </c>
      <c r="B60" s="9" t="s">
        <v>2</v>
      </c>
      <c r="C60" s="9" t="s">
        <v>0</v>
      </c>
      <c r="D60" s="9">
        <v>10000</v>
      </c>
      <c r="E60">
        <v>84505017.868354648</v>
      </c>
      <c r="F60">
        <f>MultipleMatchInexactNumeric2(A60,B60,C60,D60)</f>
        <v>84505017.868354604</v>
      </c>
      <c r="G60">
        <f>IF(ABS(E60-F60)&lt; 0.000001,0,1)</f>
        <v>0</v>
      </c>
      <c r="M60" t="s">
        <v>1</v>
      </c>
      <c r="N60" t="s">
        <v>1</v>
      </c>
      <c r="O60" t="s">
        <v>1</v>
      </c>
      <c r="P60">
        <v>3</v>
      </c>
      <c r="Q60" s="1">
        <v>618.11766001930232</v>
      </c>
      <c r="R60" s="1">
        <v>506386.85926206462</v>
      </c>
    </row>
    <row r="61" spans="1:22" x14ac:dyDescent="0.35">
      <c r="A61" s="9" t="s">
        <v>2</v>
      </c>
      <c r="B61" s="9" t="s">
        <v>2</v>
      </c>
      <c r="C61" s="9" t="s">
        <v>2</v>
      </c>
      <c r="D61" s="9">
        <v>1000</v>
      </c>
      <c r="E61">
        <v>1</v>
      </c>
      <c r="F61">
        <f>MultipleMatchInexactNumeric2(A61,B61,C61,D61)</f>
        <v>1</v>
      </c>
      <c r="G61">
        <f>IF(ABS(E61-F61)&lt; 0.000001,0,1)</f>
        <v>0</v>
      </c>
      <c r="M61" t="s">
        <v>1</v>
      </c>
      <c r="N61" t="s">
        <v>1</v>
      </c>
      <c r="O61" t="s">
        <v>2</v>
      </c>
      <c r="P61">
        <v>0</v>
      </c>
      <c r="Q61" s="1">
        <v>0</v>
      </c>
      <c r="R61" s="1">
        <v>1</v>
      </c>
    </row>
    <row r="62" spans="1:22" x14ac:dyDescent="0.35">
      <c r="A62" s="9" t="s">
        <v>2</v>
      </c>
      <c r="B62" s="9" t="s">
        <v>2</v>
      </c>
      <c r="C62" s="9" t="s">
        <v>2</v>
      </c>
      <c r="D62" s="9">
        <v>40</v>
      </c>
      <c r="E62">
        <v>1</v>
      </c>
      <c r="F62">
        <f>MultipleMatchInexactNumeric2(A62,B62,C62,D62)</f>
        <v>1</v>
      </c>
      <c r="G62">
        <f>IF(ABS(E62-F62)&lt; 0.000001,0,1)</f>
        <v>0</v>
      </c>
      <c r="M62" t="s">
        <v>1</v>
      </c>
      <c r="N62" t="s">
        <v>1</v>
      </c>
      <c r="O62" t="s">
        <v>2</v>
      </c>
      <c r="P62">
        <v>1</v>
      </c>
      <c r="Q62" s="1">
        <v>1736.7797038684457</v>
      </c>
      <c r="R62" s="1">
        <v>12.87471229305198</v>
      </c>
    </row>
    <row r="63" spans="1:22" x14ac:dyDescent="0.35">
      <c r="A63" s="9" t="s">
        <v>2</v>
      </c>
      <c r="B63" s="9" t="s">
        <v>2</v>
      </c>
      <c r="C63" s="9" t="s">
        <v>2</v>
      </c>
      <c r="D63" s="9">
        <v>10000</v>
      </c>
      <c r="E63">
        <v>342.0241096241877</v>
      </c>
      <c r="F63">
        <f>MultipleMatchInexactNumeric2(A63,B63,C63,D63)</f>
        <v>342.02410962418799</v>
      </c>
      <c r="G63">
        <f>IF(ABS(E63-F63)&lt; 0.000001,0,1)</f>
        <v>0</v>
      </c>
      <c r="M63" t="s">
        <v>1</v>
      </c>
      <c r="N63" t="s">
        <v>1</v>
      </c>
      <c r="O63" t="s">
        <v>2</v>
      </c>
      <c r="P63">
        <v>2</v>
      </c>
      <c r="Q63" s="1">
        <v>2347.9951809806389</v>
      </c>
      <c r="R63" s="1">
        <v>18.315298363592774</v>
      </c>
    </row>
    <row r="64" spans="1:22" x14ac:dyDescent="0.35">
      <c r="M64" t="s">
        <v>1</v>
      </c>
      <c r="N64" t="s">
        <v>1</v>
      </c>
      <c r="O64" t="s">
        <v>2</v>
      </c>
      <c r="P64">
        <v>3</v>
      </c>
      <c r="Q64" s="1">
        <v>2951.0177698249026</v>
      </c>
      <c r="R64" s="1">
        <v>30.565287266593028</v>
      </c>
    </row>
    <row r="65" spans="13:18" x14ac:dyDescent="0.35">
      <c r="M65" t="s">
        <v>1</v>
      </c>
      <c r="N65" t="s">
        <v>2</v>
      </c>
      <c r="O65" t="s">
        <v>0</v>
      </c>
      <c r="P65">
        <v>0</v>
      </c>
      <c r="Q65" s="1">
        <v>0</v>
      </c>
      <c r="R65" s="1">
        <v>1</v>
      </c>
    </row>
    <row r="66" spans="13:18" x14ac:dyDescent="0.35">
      <c r="M66" t="s">
        <v>1</v>
      </c>
      <c r="N66" t="s">
        <v>2</v>
      </c>
      <c r="O66" t="s">
        <v>0</v>
      </c>
      <c r="P66">
        <v>1</v>
      </c>
      <c r="Q66" s="1">
        <v>534.61053936190672</v>
      </c>
      <c r="R66" s="1">
        <v>818574.40221290139</v>
      </c>
    </row>
    <row r="67" spans="13:18" x14ac:dyDescent="0.35">
      <c r="M67" t="s">
        <v>1</v>
      </c>
      <c r="N67" t="s">
        <v>2</v>
      </c>
      <c r="O67" t="s">
        <v>0</v>
      </c>
      <c r="P67">
        <v>2</v>
      </c>
      <c r="Q67" s="1">
        <v>535.83743552267015</v>
      </c>
      <c r="R67" s="1">
        <v>473429.77754060243</v>
      </c>
    </row>
    <row r="68" spans="13:18" x14ac:dyDescent="0.35">
      <c r="M68" t="s">
        <v>1</v>
      </c>
      <c r="N68" t="s">
        <v>2</v>
      </c>
      <c r="O68" t="s">
        <v>0</v>
      </c>
      <c r="P68">
        <v>3</v>
      </c>
      <c r="Q68" s="1">
        <v>740.44056101033595</v>
      </c>
      <c r="R68" s="1">
        <v>671275.63408292818</v>
      </c>
    </row>
    <row r="69" spans="13:18" x14ac:dyDescent="0.35">
      <c r="M69" t="s">
        <v>1</v>
      </c>
      <c r="N69" t="s">
        <v>2</v>
      </c>
      <c r="O69" t="s">
        <v>1</v>
      </c>
      <c r="P69">
        <v>0</v>
      </c>
      <c r="Q69" s="1">
        <v>0</v>
      </c>
      <c r="R69" s="1">
        <v>1</v>
      </c>
    </row>
    <row r="70" spans="13:18" x14ac:dyDescent="0.35">
      <c r="M70" t="s">
        <v>1</v>
      </c>
      <c r="N70" t="s">
        <v>2</v>
      </c>
      <c r="O70" t="s">
        <v>1</v>
      </c>
      <c r="P70">
        <v>1</v>
      </c>
      <c r="Q70" s="1">
        <v>873.90333670947098</v>
      </c>
      <c r="R70" s="1">
        <v>5.5308464608446828</v>
      </c>
    </row>
    <row r="71" spans="13:18" x14ac:dyDescent="0.35">
      <c r="M71" t="s">
        <v>1</v>
      </c>
      <c r="N71" t="s">
        <v>2</v>
      </c>
      <c r="O71" t="s">
        <v>1</v>
      </c>
      <c r="P71">
        <v>2</v>
      </c>
      <c r="Q71" s="1">
        <v>1640.7421997836814</v>
      </c>
      <c r="R71" s="1">
        <v>3.7891915013635131</v>
      </c>
    </row>
    <row r="72" spans="13:18" x14ac:dyDescent="0.35">
      <c r="M72" t="s">
        <v>1</v>
      </c>
      <c r="N72" t="s">
        <v>2</v>
      </c>
      <c r="O72" t="s">
        <v>1</v>
      </c>
      <c r="P72">
        <v>3</v>
      </c>
      <c r="Q72" s="1">
        <v>2167.1256906430149</v>
      </c>
      <c r="R72" s="1">
        <v>5.2369261422376665</v>
      </c>
    </row>
    <row r="73" spans="13:18" x14ac:dyDescent="0.35">
      <c r="M73" t="s">
        <v>1</v>
      </c>
      <c r="N73" t="s">
        <v>2</v>
      </c>
      <c r="O73" t="s">
        <v>2</v>
      </c>
      <c r="P73">
        <v>0</v>
      </c>
      <c r="Q73" s="1">
        <v>0</v>
      </c>
      <c r="R73" s="1">
        <v>1</v>
      </c>
    </row>
    <row r="74" spans="13:18" x14ac:dyDescent="0.35">
      <c r="M74" t="s">
        <v>1</v>
      </c>
      <c r="N74" t="s">
        <v>2</v>
      </c>
      <c r="O74" t="s">
        <v>2</v>
      </c>
      <c r="P74">
        <v>1</v>
      </c>
      <c r="Q74" s="1">
        <v>4.5893843322318366</v>
      </c>
      <c r="R74" s="1">
        <v>271.32608217273702</v>
      </c>
    </row>
    <row r="75" spans="13:18" x14ac:dyDescent="0.35">
      <c r="M75" t="s">
        <v>1</v>
      </c>
      <c r="N75" t="s">
        <v>2</v>
      </c>
      <c r="O75" t="s">
        <v>2</v>
      </c>
      <c r="P75">
        <v>2</v>
      </c>
      <c r="Q75" s="1">
        <v>6.917525477163986</v>
      </c>
      <c r="R75" s="1">
        <v>378.73130130993701</v>
      </c>
    </row>
    <row r="76" spans="13:18" x14ac:dyDescent="0.35">
      <c r="M76" t="s">
        <v>1</v>
      </c>
      <c r="N76" t="s">
        <v>2</v>
      </c>
      <c r="O76" t="s">
        <v>2</v>
      </c>
      <c r="P76">
        <v>3</v>
      </c>
      <c r="Q76" s="1">
        <v>8.2619091128049185</v>
      </c>
      <c r="R76" s="1">
        <v>418.03649604351335</v>
      </c>
    </row>
    <row r="77" spans="13:18" x14ac:dyDescent="0.35">
      <c r="M77" t="s">
        <v>2</v>
      </c>
      <c r="N77" t="s">
        <v>0</v>
      </c>
      <c r="O77" t="s">
        <v>0</v>
      </c>
      <c r="P77">
        <v>0</v>
      </c>
      <c r="Q77" s="1">
        <v>0</v>
      </c>
      <c r="R77" s="1">
        <v>1</v>
      </c>
    </row>
    <row r="78" spans="13:18" x14ac:dyDescent="0.35">
      <c r="M78" t="s">
        <v>2</v>
      </c>
      <c r="N78" t="s">
        <v>0</v>
      </c>
      <c r="O78" t="s">
        <v>0</v>
      </c>
      <c r="P78">
        <v>1</v>
      </c>
      <c r="Q78" s="1">
        <v>169.76245902684471</v>
      </c>
      <c r="R78" s="1">
        <v>11026500.943488406</v>
      </c>
    </row>
    <row r="79" spans="13:18" x14ac:dyDescent="0.35">
      <c r="M79" t="s">
        <v>2</v>
      </c>
      <c r="N79" t="s">
        <v>0</v>
      </c>
      <c r="O79" t="s">
        <v>0</v>
      </c>
      <c r="P79">
        <v>2</v>
      </c>
      <c r="Q79" s="1">
        <v>260.35087688671661</v>
      </c>
      <c r="R79" s="1">
        <v>26327365.012117598</v>
      </c>
    </row>
    <row r="80" spans="13:18" x14ac:dyDescent="0.35">
      <c r="M80" t="s">
        <v>2</v>
      </c>
      <c r="N80" t="s">
        <v>0</v>
      </c>
      <c r="O80" t="s">
        <v>0</v>
      </c>
      <c r="P80">
        <v>3</v>
      </c>
      <c r="Q80" s="1">
        <v>329.02527865688</v>
      </c>
      <c r="R80" s="1">
        <v>76072677.45279552</v>
      </c>
    </row>
    <row r="81" spans="13:18" x14ac:dyDescent="0.35">
      <c r="M81" t="s">
        <v>2</v>
      </c>
      <c r="N81" t="s">
        <v>0</v>
      </c>
      <c r="O81" t="s">
        <v>1</v>
      </c>
      <c r="P81">
        <v>0</v>
      </c>
      <c r="Q81" s="1">
        <v>0</v>
      </c>
      <c r="R81" s="1">
        <v>1</v>
      </c>
    </row>
    <row r="82" spans="13:18" x14ac:dyDescent="0.35">
      <c r="M82" t="s">
        <v>2</v>
      </c>
      <c r="N82" t="s">
        <v>0</v>
      </c>
      <c r="O82" t="s">
        <v>1</v>
      </c>
      <c r="P82">
        <v>1</v>
      </c>
      <c r="Q82" s="1">
        <v>45281.487312221827</v>
      </c>
      <c r="R82" s="1">
        <v>22988818.230815407</v>
      </c>
    </row>
    <row r="83" spans="13:18" x14ac:dyDescent="0.35">
      <c r="M83" t="s">
        <v>2</v>
      </c>
      <c r="N83" t="s">
        <v>0</v>
      </c>
      <c r="O83" t="s">
        <v>1</v>
      </c>
      <c r="P83">
        <v>2</v>
      </c>
      <c r="Q83" s="1">
        <v>64311.555948999267</v>
      </c>
      <c r="R83" s="1">
        <v>36179080.498874679</v>
      </c>
    </row>
    <row r="84" spans="13:18" x14ac:dyDescent="0.35">
      <c r="M84" t="s">
        <v>2</v>
      </c>
      <c r="N84" t="s">
        <v>0</v>
      </c>
      <c r="O84" t="s">
        <v>1</v>
      </c>
      <c r="P84">
        <v>3</v>
      </c>
      <c r="Q84" s="1">
        <v>77218.254144733932</v>
      </c>
      <c r="R84" s="1">
        <v>41616148.875773117</v>
      </c>
    </row>
    <row r="85" spans="13:18" x14ac:dyDescent="0.35">
      <c r="M85" t="s">
        <v>2</v>
      </c>
      <c r="N85" t="s">
        <v>0</v>
      </c>
      <c r="O85" t="s">
        <v>2</v>
      </c>
      <c r="P85">
        <v>0</v>
      </c>
      <c r="Q85" s="1">
        <v>0</v>
      </c>
      <c r="R85" s="1">
        <v>1</v>
      </c>
    </row>
    <row r="86" spans="13:18" x14ac:dyDescent="0.35">
      <c r="M86" t="s">
        <v>2</v>
      </c>
      <c r="N86" t="s">
        <v>0</v>
      </c>
      <c r="O86" t="s">
        <v>2</v>
      </c>
      <c r="P86">
        <v>1</v>
      </c>
      <c r="Q86" s="1">
        <v>357.56914715059258</v>
      </c>
      <c r="R86" s="1">
        <v>3.3623867508680561</v>
      </c>
    </row>
    <row r="87" spans="13:18" x14ac:dyDescent="0.35">
      <c r="M87" t="s">
        <v>2</v>
      </c>
      <c r="N87" t="s">
        <v>0</v>
      </c>
      <c r="O87" t="s">
        <v>2</v>
      </c>
      <c r="P87">
        <v>2</v>
      </c>
      <c r="Q87" s="1">
        <v>4290.0529519584898</v>
      </c>
      <c r="R87" s="1">
        <v>5.3319706053934741</v>
      </c>
    </row>
    <row r="88" spans="13:18" x14ac:dyDescent="0.35">
      <c r="M88" t="s">
        <v>2</v>
      </c>
      <c r="N88" t="s">
        <v>0</v>
      </c>
      <c r="O88" t="s">
        <v>2</v>
      </c>
      <c r="P88">
        <v>3</v>
      </c>
      <c r="Q88" s="1">
        <v>9240.1940859427687</v>
      </c>
      <c r="R88" s="1">
        <v>6.1781690159130553</v>
      </c>
    </row>
    <row r="89" spans="13:18" x14ac:dyDescent="0.35">
      <c r="M89" t="s">
        <v>2</v>
      </c>
      <c r="N89" t="s">
        <v>1</v>
      </c>
      <c r="O89" t="s">
        <v>0</v>
      </c>
      <c r="P89">
        <v>0</v>
      </c>
      <c r="Q89" s="1">
        <v>0</v>
      </c>
      <c r="R89" s="1">
        <v>1</v>
      </c>
    </row>
    <row r="90" spans="13:18" x14ac:dyDescent="0.35">
      <c r="M90" t="s">
        <v>2</v>
      </c>
      <c r="N90" t="s">
        <v>1</v>
      </c>
      <c r="O90" t="s">
        <v>0</v>
      </c>
      <c r="P90">
        <v>1</v>
      </c>
      <c r="Q90" s="1">
        <v>4</v>
      </c>
      <c r="R90" s="1">
        <v>57787.59890564072</v>
      </c>
    </row>
    <row r="91" spans="13:18" x14ac:dyDescent="0.35">
      <c r="M91" t="s">
        <v>2</v>
      </c>
      <c r="N91" t="s">
        <v>1</v>
      </c>
      <c r="O91" t="s">
        <v>0</v>
      </c>
      <c r="P91">
        <v>2</v>
      </c>
      <c r="Q91" s="1">
        <v>6.2730518734120064</v>
      </c>
      <c r="R91" s="1">
        <v>68318.461285329176</v>
      </c>
    </row>
    <row r="92" spans="13:18" x14ac:dyDescent="0.35">
      <c r="M92" t="s">
        <v>2</v>
      </c>
      <c r="N92" t="s">
        <v>1</v>
      </c>
      <c r="O92" t="s">
        <v>0</v>
      </c>
      <c r="P92">
        <v>3</v>
      </c>
      <c r="Q92" s="1">
        <v>8.3739497243440049</v>
      </c>
      <c r="R92" s="1">
        <v>124006.96649103881</v>
      </c>
    </row>
    <row r="93" spans="13:18" x14ac:dyDescent="0.35">
      <c r="M93" t="s">
        <v>2</v>
      </c>
      <c r="N93" t="s">
        <v>1</v>
      </c>
      <c r="O93" t="s">
        <v>1</v>
      </c>
      <c r="P93">
        <v>0</v>
      </c>
      <c r="Q93" s="1">
        <v>0</v>
      </c>
      <c r="R93" s="1">
        <v>1</v>
      </c>
    </row>
    <row r="94" spans="13:18" x14ac:dyDescent="0.35">
      <c r="M94" t="s">
        <v>2</v>
      </c>
      <c r="N94" t="s">
        <v>1</v>
      </c>
      <c r="O94" t="s">
        <v>1</v>
      </c>
      <c r="P94">
        <v>1</v>
      </c>
      <c r="Q94" s="1">
        <v>4.0790346851490904</v>
      </c>
      <c r="R94" s="1">
        <v>487.45835834889658</v>
      </c>
    </row>
    <row r="95" spans="13:18" x14ac:dyDescent="0.35">
      <c r="M95" t="s">
        <v>2</v>
      </c>
      <c r="N95" t="s">
        <v>1</v>
      </c>
      <c r="O95" t="s">
        <v>1</v>
      </c>
      <c r="P95">
        <v>2</v>
      </c>
      <c r="Q95" s="1">
        <v>7.1174884139282417</v>
      </c>
      <c r="R95" s="1">
        <v>324.55491919161261</v>
      </c>
    </row>
    <row r="96" spans="13:18" x14ac:dyDescent="0.35">
      <c r="M96" t="s">
        <v>2</v>
      </c>
      <c r="N96" t="s">
        <v>1</v>
      </c>
      <c r="O96" t="s">
        <v>1</v>
      </c>
      <c r="P96">
        <v>3</v>
      </c>
      <c r="Q96" s="1">
        <v>8.1858124681884572</v>
      </c>
      <c r="R96" s="1">
        <v>462.94208062296951</v>
      </c>
    </row>
    <row r="97" spans="13:18" x14ac:dyDescent="0.35">
      <c r="M97" t="s">
        <v>2</v>
      </c>
      <c r="N97" t="s">
        <v>1</v>
      </c>
      <c r="O97" t="s">
        <v>2</v>
      </c>
      <c r="P97">
        <v>0</v>
      </c>
      <c r="Q97" s="1">
        <v>0</v>
      </c>
      <c r="R97" s="1">
        <v>1</v>
      </c>
    </row>
    <row r="98" spans="13:18" x14ac:dyDescent="0.35">
      <c r="M98" t="s">
        <v>2</v>
      </c>
      <c r="N98" t="s">
        <v>1</v>
      </c>
      <c r="O98" t="s">
        <v>2</v>
      </c>
      <c r="P98">
        <v>1</v>
      </c>
      <c r="Q98" s="1">
        <v>11.919228224531595</v>
      </c>
      <c r="R98" s="1">
        <v>51.552067368712819</v>
      </c>
    </row>
    <row r="99" spans="13:18" x14ac:dyDescent="0.35">
      <c r="M99" t="s">
        <v>2</v>
      </c>
      <c r="N99" t="s">
        <v>1</v>
      </c>
      <c r="O99" t="s">
        <v>2</v>
      </c>
      <c r="P99">
        <v>2</v>
      </c>
      <c r="Q99" s="1">
        <v>61.639136806336744</v>
      </c>
      <c r="R99" s="1">
        <v>32.79178065103477</v>
      </c>
    </row>
    <row r="100" spans="13:18" x14ac:dyDescent="0.35">
      <c r="M100" t="s">
        <v>2</v>
      </c>
      <c r="N100" t="s">
        <v>1</v>
      </c>
      <c r="O100" t="s">
        <v>2</v>
      </c>
      <c r="P100">
        <v>3</v>
      </c>
      <c r="Q100" s="1">
        <v>106.06842050306169</v>
      </c>
      <c r="R100" s="1">
        <v>44.226401038674453</v>
      </c>
    </row>
    <row r="101" spans="13:18" x14ac:dyDescent="0.35">
      <c r="M101" t="s">
        <v>2</v>
      </c>
      <c r="N101" t="s">
        <v>2</v>
      </c>
      <c r="O101" t="s">
        <v>0</v>
      </c>
      <c r="P101">
        <v>0</v>
      </c>
      <c r="Q101" s="1">
        <v>0</v>
      </c>
      <c r="R101" s="1">
        <v>1</v>
      </c>
    </row>
    <row r="102" spans="13:18" x14ac:dyDescent="0.35">
      <c r="M102" t="s">
        <v>2</v>
      </c>
      <c r="N102" t="s">
        <v>2</v>
      </c>
      <c r="O102" t="s">
        <v>0</v>
      </c>
      <c r="P102">
        <v>1</v>
      </c>
      <c r="Q102" s="1">
        <v>1.4749847974150934</v>
      </c>
      <c r="R102" s="1">
        <v>52266617.048029259</v>
      </c>
    </row>
    <row r="103" spans="13:18" x14ac:dyDescent="0.35">
      <c r="M103" t="s">
        <v>2</v>
      </c>
      <c r="N103" t="s">
        <v>2</v>
      </c>
      <c r="O103" t="s">
        <v>0</v>
      </c>
      <c r="P103">
        <v>2</v>
      </c>
      <c r="Q103" s="1">
        <v>2.7870405957017863</v>
      </c>
      <c r="R103" s="1">
        <v>67229039.851606011</v>
      </c>
    </row>
    <row r="104" spans="13:18" x14ac:dyDescent="0.35">
      <c r="M104" t="s">
        <v>2</v>
      </c>
      <c r="N104" t="s">
        <v>2</v>
      </c>
      <c r="O104" t="s">
        <v>0</v>
      </c>
      <c r="P104">
        <v>3</v>
      </c>
      <c r="Q104" s="1">
        <v>4.760842733190545</v>
      </c>
      <c r="R104" s="1">
        <v>84505017.868354648</v>
      </c>
    </row>
    <row r="105" spans="13:18" x14ac:dyDescent="0.35">
      <c r="M105" t="s">
        <v>2</v>
      </c>
      <c r="N105" t="s">
        <v>2</v>
      </c>
      <c r="O105" t="s">
        <v>1</v>
      </c>
      <c r="P105">
        <v>0</v>
      </c>
      <c r="Q105" s="1">
        <v>0</v>
      </c>
      <c r="R105" s="1">
        <v>1</v>
      </c>
    </row>
    <row r="106" spans="13:18" x14ac:dyDescent="0.35">
      <c r="M106" t="s">
        <v>2</v>
      </c>
      <c r="N106" t="s">
        <v>2</v>
      </c>
      <c r="O106" t="s">
        <v>1</v>
      </c>
      <c r="P106">
        <v>1</v>
      </c>
      <c r="Q106" s="1">
        <v>4.049184828269901</v>
      </c>
      <c r="R106" s="1">
        <v>452073673.79274911</v>
      </c>
    </row>
    <row r="107" spans="13:18" x14ac:dyDescent="0.35">
      <c r="M107" t="s">
        <v>2</v>
      </c>
      <c r="N107" t="s">
        <v>2</v>
      </c>
      <c r="O107" t="s">
        <v>1</v>
      </c>
      <c r="P107">
        <v>2</v>
      </c>
      <c r="Q107" s="1">
        <v>6.0945909160417031</v>
      </c>
      <c r="R107" s="1">
        <v>470325176.57976329</v>
      </c>
    </row>
    <row r="108" spans="13:18" x14ac:dyDescent="0.35">
      <c r="M108" t="s">
        <v>2</v>
      </c>
      <c r="N108" t="s">
        <v>2</v>
      </c>
      <c r="O108" t="s">
        <v>1</v>
      </c>
      <c r="P108">
        <v>3</v>
      </c>
      <c r="Q108" s="1">
        <v>9</v>
      </c>
      <c r="R108" s="1">
        <v>508133821.4006716</v>
      </c>
    </row>
    <row r="109" spans="13:18" x14ac:dyDescent="0.35">
      <c r="M109" t="s">
        <v>2</v>
      </c>
      <c r="N109" t="s">
        <v>2</v>
      </c>
      <c r="O109" t="s">
        <v>2</v>
      </c>
      <c r="P109">
        <v>0</v>
      </c>
      <c r="Q109" s="1">
        <v>0</v>
      </c>
      <c r="R109" s="1">
        <v>1</v>
      </c>
    </row>
    <row r="110" spans="13:18" x14ac:dyDescent="0.35">
      <c r="M110" t="s">
        <v>2</v>
      </c>
      <c r="N110" t="s">
        <v>2</v>
      </c>
      <c r="O110" t="s">
        <v>2</v>
      </c>
      <c r="P110">
        <v>1</v>
      </c>
      <c r="Q110" s="1">
        <v>1757.0229844103737</v>
      </c>
      <c r="R110" s="1">
        <v>291.25214247518284</v>
      </c>
    </row>
    <row r="111" spans="13:18" x14ac:dyDescent="0.35">
      <c r="M111" t="s">
        <v>2</v>
      </c>
      <c r="N111" t="s">
        <v>2</v>
      </c>
      <c r="O111" t="s">
        <v>2</v>
      </c>
      <c r="P111">
        <v>2</v>
      </c>
      <c r="Q111" s="1">
        <v>2466.7467772957793</v>
      </c>
      <c r="R111" s="1">
        <v>339.64087400512534</v>
      </c>
    </row>
    <row r="112" spans="13:18" x14ac:dyDescent="0.35">
      <c r="M112" t="s">
        <v>2</v>
      </c>
      <c r="N112" t="s">
        <v>2</v>
      </c>
      <c r="O112" t="s">
        <v>2</v>
      </c>
      <c r="P112">
        <v>3</v>
      </c>
      <c r="Q112" s="1">
        <v>4688.6956993980075</v>
      </c>
      <c r="R112" s="1">
        <v>342.0241096241877</v>
      </c>
    </row>
  </sheetData>
  <mergeCells count="1">
    <mergeCell ref="A26:D26"/>
  </mergeCells>
  <pageMargins left="0.7" right="0.7" top="0.75" bottom="0.75" header="0.3" footer="0.3"/>
  <pageSetup orientation="portrait" r:id="rId1"/>
  <tableParts count="1">
    <tablePart r:id="rId2"/>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ED8973-BE74-45FC-A7F1-BB5737FED52D}">
  <sheetPr codeName="Sheet20"/>
  <dimension ref="A1:T111"/>
  <sheetViews>
    <sheetView topLeftCell="A5" workbookViewId="0">
      <selection activeCell="D19" sqref="D19"/>
    </sheetView>
  </sheetViews>
  <sheetFormatPr defaultRowHeight="14.5" x14ac:dyDescent="0.35"/>
  <cols>
    <col min="1" max="1" width="14.08984375" customWidth="1"/>
    <col min="2" max="2" width="14.26953125" customWidth="1"/>
    <col min="17" max="17" width="10.453125" customWidth="1"/>
    <col min="18" max="19" width="14.453125" bestFit="1" customWidth="1"/>
    <col min="20" max="22" width="14.453125" customWidth="1"/>
    <col min="23" max="23" width="11" bestFit="1" customWidth="1"/>
  </cols>
  <sheetData>
    <row r="1" spans="1:18" hidden="1" x14ac:dyDescent="0.35">
      <c r="A1" t="s">
        <v>80</v>
      </c>
      <c r="B1" t="s">
        <v>81</v>
      </c>
    </row>
    <row r="2" spans="1:18" hidden="1" x14ac:dyDescent="0.35">
      <c r="A2" t="s">
        <v>80</v>
      </c>
    </row>
    <row r="3" spans="1:18" hidden="1" x14ac:dyDescent="0.35">
      <c r="A3" t="s">
        <v>80</v>
      </c>
    </row>
    <row r="4" spans="1:18" x14ac:dyDescent="0.35">
      <c r="A4" s="4" t="s">
        <v>292</v>
      </c>
      <c r="M4" t="s">
        <v>11</v>
      </c>
      <c r="N4" t="s">
        <v>12</v>
      </c>
      <c r="O4" t="s">
        <v>13</v>
      </c>
      <c r="P4" t="s">
        <v>5</v>
      </c>
      <c r="Q4" t="s">
        <v>4</v>
      </c>
      <c r="R4" t="s">
        <v>3</v>
      </c>
    </row>
    <row r="5" spans="1:18" x14ac:dyDescent="0.35">
      <c r="A5" t="s">
        <v>288</v>
      </c>
      <c r="M5" t="s">
        <v>0</v>
      </c>
      <c r="N5" t="s">
        <v>0</v>
      </c>
      <c r="O5" t="s">
        <v>0</v>
      </c>
      <c r="P5">
        <v>0</v>
      </c>
      <c r="Q5" s="1">
        <v>0</v>
      </c>
      <c r="R5" s="1">
        <v>1</v>
      </c>
    </row>
    <row r="6" spans="1:18" x14ac:dyDescent="0.35">
      <c r="A6" t="s">
        <v>291</v>
      </c>
      <c r="M6" t="s">
        <v>0</v>
      </c>
      <c r="N6" t="s">
        <v>0</v>
      </c>
      <c r="O6" t="s">
        <v>0</v>
      </c>
      <c r="P6">
        <v>1</v>
      </c>
      <c r="Q6" s="1">
        <v>1.5261890228122563</v>
      </c>
      <c r="R6" s="1">
        <v>546318.83737814485</v>
      </c>
    </row>
    <row r="7" spans="1:18" x14ac:dyDescent="0.35">
      <c r="M7" t="s">
        <v>0</v>
      </c>
      <c r="N7" t="s">
        <v>0</v>
      </c>
      <c r="O7" t="s">
        <v>0</v>
      </c>
      <c r="P7">
        <v>2</v>
      </c>
      <c r="Q7" s="1">
        <v>3</v>
      </c>
      <c r="R7" s="1">
        <v>1037307.0567016189</v>
      </c>
    </row>
    <row r="8" spans="1:18" x14ac:dyDescent="0.35">
      <c r="A8" t="s">
        <v>8</v>
      </c>
      <c r="B8" s="23" t="s">
        <v>2</v>
      </c>
      <c r="M8" t="s">
        <v>0</v>
      </c>
      <c r="N8" t="s">
        <v>0</v>
      </c>
      <c r="O8" t="s">
        <v>0</v>
      </c>
      <c r="P8">
        <v>3</v>
      </c>
      <c r="Q8" s="1">
        <v>6.5255204875320274</v>
      </c>
      <c r="R8" s="1">
        <v>1299951.4226145379</v>
      </c>
    </row>
    <row r="9" spans="1:18" x14ac:dyDescent="0.35">
      <c r="A9" t="s">
        <v>7</v>
      </c>
      <c r="B9" s="23" t="s">
        <v>2</v>
      </c>
      <c r="M9" t="s">
        <v>0</v>
      </c>
      <c r="N9" t="s">
        <v>0</v>
      </c>
      <c r="O9" t="s">
        <v>1</v>
      </c>
      <c r="P9">
        <v>0</v>
      </c>
      <c r="Q9" s="1">
        <v>0</v>
      </c>
      <c r="R9" s="1">
        <v>1</v>
      </c>
    </row>
    <row r="10" spans="1:18" x14ac:dyDescent="0.35">
      <c r="A10" t="s">
        <v>6</v>
      </c>
      <c r="B10" s="23" t="s">
        <v>0</v>
      </c>
      <c r="M10" t="s">
        <v>0</v>
      </c>
      <c r="N10" t="s">
        <v>0</v>
      </c>
      <c r="O10" t="s">
        <v>1</v>
      </c>
      <c r="P10">
        <v>1</v>
      </c>
      <c r="Q10" s="1">
        <v>457.89715574024206</v>
      </c>
      <c r="R10" s="1">
        <v>6800948.9139359165</v>
      </c>
    </row>
    <row r="11" spans="1:18" x14ac:dyDescent="0.35">
      <c r="A11" t="s">
        <v>287</v>
      </c>
      <c r="B11" s="23">
        <v>123</v>
      </c>
      <c r="M11" t="s">
        <v>0</v>
      </c>
      <c r="N11" t="s">
        <v>0</v>
      </c>
      <c r="O11" t="s">
        <v>1</v>
      </c>
      <c r="P11">
        <v>2</v>
      </c>
      <c r="Q11" s="1">
        <v>665.41974818871267</v>
      </c>
      <c r="R11" s="1">
        <v>30577029.059039161</v>
      </c>
    </row>
    <row r="12" spans="1:18" x14ac:dyDescent="0.35">
      <c r="A12" s="4"/>
      <c r="M12" t="s">
        <v>0</v>
      </c>
      <c r="N12" t="s">
        <v>0</v>
      </c>
      <c r="O12" t="s">
        <v>1</v>
      </c>
      <c r="P12">
        <v>3</v>
      </c>
      <c r="Q12" s="1">
        <v>732.96431435521231</v>
      </c>
      <c r="R12" s="1">
        <v>64587928.142886072</v>
      </c>
    </row>
    <row r="13" spans="1:18" x14ac:dyDescent="0.35">
      <c r="M13" t="s">
        <v>0</v>
      </c>
      <c r="N13" t="s">
        <v>0</v>
      </c>
      <c r="O13" t="s">
        <v>2</v>
      </c>
      <c r="P13">
        <v>0</v>
      </c>
      <c r="Q13" s="1">
        <v>0</v>
      </c>
      <c r="R13" s="1">
        <v>1</v>
      </c>
    </row>
    <row r="14" spans="1:18" x14ac:dyDescent="0.35">
      <c r="M14" t="s">
        <v>0</v>
      </c>
      <c r="N14" t="s">
        <v>0</v>
      </c>
      <c r="O14" t="s">
        <v>2</v>
      </c>
      <c r="P14">
        <v>1</v>
      </c>
      <c r="Q14" s="1">
        <v>3592.9938823812686</v>
      </c>
      <c r="R14" s="1">
        <v>36462125.075147875</v>
      </c>
    </row>
    <row r="15" spans="1:18" x14ac:dyDescent="0.35">
      <c r="M15" t="s">
        <v>0</v>
      </c>
      <c r="N15" t="s">
        <v>0</v>
      </c>
      <c r="O15" t="s">
        <v>2</v>
      </c>
      <c r="P15">
        <v>2</v>
      </c>
      <c r="Q15" s="1">
        <v>4317.4518143079749</v>
      </c>
      <c r="R15" s="1">
        <v>48438287.635287218</v>
      </c>
    </row>
    <row r="16" spans="1:18" x14ac:dyDescent="0.35">
      <c r="A16" t="s">
        <v>289</v>
      </c>
      <c r="M16" t="s">
        <v>0</v>
      </c>
      <c r="N16" t="s">
        <v>0</v>
      </c>
      <c r="O16" t="s">
        <v>2</v>
      </c>
      <c r="P16">
        <v>3</v>
      </c>
      <c r="Q16" s="1">
        <v>5145.536758387444</v>
      </c>
      <c r="R16" s="1">
        <v>53042320.468393937</v>
      </c>
    </row>
    <row r="17" spans="1:18" x14ac:dyDescent="0.35">
      <c r="B17" s="14" cm="1">
        <f t="array" ref="B17">SUMPRODUCT(MAX((MyTestTable10[Field1]=B8)*(MyTestTable10[Field2]=B9)*(MyTestTable10[Field3]=B10)*(MyTestTable10[lookup]&lt;=B11)*(MyTestTable10[lookup])))</f>
        <v>4.760842733190545</v>
      </c>
      <c r="M17" t="s">
        <v>0</v>
      </c>
      <c r="N17" t="s">
        <v>1</v>
      </c>
      <c r="O17" t="s">
        <v>0</v>
      </c>
      <c r="P17">
        <v>0</v>
      </c>
      <c r="Q17" s="1">
        <v>0</v>
      </c>
      <c r="R17" s="1">
        <v>0.1</v>
      </c>
    </row>
    <row r="18" spans="1:18" x14ac:dyDescent="0.35">
      <c r="A18" t="s">
        <v>290</v>
      </c>
      <c r="M18" t="s">
        <v>0</v>
      </c>
      <c r="N18" t="s">
        <v>1</v>
      </c>
      <c r="O18" t="s">
        <v>0</v>
      </c>
      <c r="P18">
        <v>1</v>
      </c>
      <c r="Q18" s="1">
        <v>1786.3712131444156</v>
      </c>
      <c r="R18" s="1">
        <v>0.22712616889310794</v>
      </c>
    </row>
    <row r="19" spans="1:18" x14ac:dyDescent="0.35">
      <c r="M19" t="s">
        <v>0</v>
      </c>
      <c r="N19" t="s">
        <v>1</v>
      </c>
      <c r="O19" t="s">
        <v>0</v>
      </c>
      <c r="P19">
        <v>2</v>
      </c>
      <c r="Q19" s="1">
        <v>2650.1850237489953</v>
      </c>
      <c r="R19" s="1">
        <v>0.37457202935904388</v>
      </c>
    </row>
    <row r="20" spans="1:18" x14ac:dyDescent="0.35">
      <c r="A20" t="s">
        <v>286</v>
      </c>
      <c r="B20" s="22" cm="1">
        <f t="array" ref="B20">SUMPRODUCT((MyTestTable10[Field1]=B8)*(MyTestTable10[Field2]=B9)*(MyTestTable10[Field3]=B10)*(MyTestTable10[lookup]=B17)*(MyTestTable10[val]))</f>
        <v>84505017.868354648</v>
      </c>
      <c r="M20" t="s">
        <v>0</v>
      </c>
      <c r="N20" t="s">
        <v>1</v>
      </c>
      <c r="O20" t="s">
        <v>0</v>
      </c>
      <c r="P20">
        <v>3</v>
      </c>
      <c r="Q20" s="1">
        <v>3118.6786834445575</v>
      </c>
      <c r="R20" s="1">
        <v>0.758624074119986</v>
      </c>
    </row>
    <row r="21" spans="1:18" x14ac:dyDescent="0.35">
      <c r="A21" t="s">
        <v>9</v>
      </c>
      <c r="B21" s="3" cm="1">
        <f t="array" ref="B21">MultipleMatchInexactNumericSafe(Input_input1,Input_input2,Input_input3,Input_inLookup)</f>
        <v>84505017.868354604</v>
      </c>
      <c r="M21" t="s">
        <v>0</v>
      </c>
      <c r="N21" t="s">
        <v>1</v>
      </c>
      <c r="O21" t="s">
        <v>1</v>
      </c>
      <c r="P21">
        <v>0</v>
      </c>
      <c r="Q21" s="1">
        <v>0</v>
      </c>
      <c r="R21" s="1">
        <v>1</v>
      </c>
    </row>
    <row r="22" spans="1:18" x14ac:dyDescent="0.35">
      <c r="M22" t="s">
        <v>0</v>
      </c>
      <c r="N22" t="s">
        <v>1</v>
      </c>
      <c r="O22" t="s">
        <v>1</v>
      </c>
      <c r="P22">
        <v>1</v>
      </c>
      <c r="Q22" s="1">
        <v>1068.9539981067799</v>
      </c>
      <c r="R22" s="1">
        <v>60653.911812046506</v>
      </c>
    </row>
    <row r="23" spans="1:18" x14ac:dyDescent="0.35">
      <c r="A23" s="27" t="s">
        <v>75</v>
      </c>
      <c r="B23" s="27"/>
      <c r="C23" s="27"/>
      <c r="D23" s="27"/>
      <c r="E23" s="7" t="s">
        <v>76</v>
      </c>
      <c r="F23" s="7" t="s">
        <v>77</v>
      </c>
      <c r="G23" s="7" t="s">
        <v>78</v>
      </c>
      <c r="M23" t="s">
        <v>0</v>
      </c>
      <c r="N23" t="s">
        <v>1</v>
      </c>
      <c r="O23" t="s">
        <v>1</v>
      </c>
      <c r="P23">
        <v>2</v>
      </c>
      <c r="Q23" s="1">
        <v>1643.0837159550099</v>
      </c>
      <c r="R23" s="1">
        <v>137161.14910324372</v>
      </c>
    </row>
    <row r="24" spans="1:18" x14ac:dyDescent="0.35">
      <c r="A24" t="s">
        <v>8</v>
      </c>
      <c r="B24" t="s">
        <v>7</v>
      </c>
      <c r="C24" t="s">
        <v>6</v>
      </c>
      <c r="D24" t="s">
        <v>287</v>
      </c>
      <c r="E24" t="s">
        <v>286</v>
      </c>
      <c r="F24" t="s">
        <v>286</v>
      </c>
      <c r="G24" t="s">
        <v>286</v>
      </c>
      <c r="I24" t="s">
        <v>79</v>
      </c>
      <c r="J24">
        <f>SUM(G25:G63)</f>
        <v>0</v>
      </c>
      <c r="M24" t="s">
        <v>0</v>
      </c>
      <c r="N24" t="s">
        <v>1</v>
      </c>
      <c r="O24" t="s">
        <v>1</v>
      </c>
      <c r="P24">
        <v>3</v>
      </c>
      <c r="Q24" s="1">
        <v>1756.3905837575001</v>
      </c>
      <c r="R24" s="1">
        <v>191434.0762295124</v>
      </c>
    </row>
    <row r="25" spans="1:18" x14ac:dyDescent="0.35">
      <c r="A25" s="9" t="s">
        <v>0</v>
      </c>
      <c r="B25" s="9" t="s">
        <v>0</v>
      </c>
      <c r="C25" s="9" t="s">
        <v>0</v>
      </c>
      <c r="D25" s="9">
        <v>1000</v>
      </c>
      <c r="E25">
        <v>1299951.4226145379</v>
      </c>
      <c r="F25">
        <f>MultipleMatchInexactNumericSafe(A25,B25,C25,D25)</f>
        <v>1299951.42261454</v>
      </c>
      <c r="G25">
        <f>IF(ABS(E25-F25)&lt; 0.000001,0,1)</f>
        <v>0</v>
      </c>
      <c r="M25" t="s">
        <v>0</v>
      </c>
      <c r="N25" t="s">
        <v>1</v>
      </c>
      <c r="O25" t="s">
        <v>2</v>
      </c>
      <c r="P25">
        <v>0</v>
      </c>
      <c r="Q25" s="1">
        <v>0</v>
      </c>
      <c r="R25" s="1">
        <v>1</v>
      </c>
    </row>
    <row r="26" spans="1:18" x14ac:dyDescent="0.35">
      <c r="A26" s="9" t="s">
        <v>0</v>
      </c>
      <c r="B26" s="9" t="s">
        <v>0</v>
      </c>
      <c r="C26" s="9" t="s">
        <v>0</v>
      </c>
      <c r="D26" s="9">
        <v>40</v>
      </c>
      <c r="E26">
        <v>1299951.4226145379</v>
      </c>
      <c r="F26">
        <f>MultipleMatchInexactNumericSafe(A26,B26,C26,D26)</f>
        <v>1299951.42261454</v>
      </c>
      <c r="G26">
        <f>IF(ABS(E26-F26)&lt; 0.000001,0,1)</f>
        <v>0</v>
      </c>
      <c r="M26" t="s">
        <v>0</v>
      </c>
      <c r="N26" t="s">
        <v>1</v>
      </c>
      <c r="O26" t="s">
        <v>2</v>
      </c>
      <c r="P26">
        <v>1</v>
      </c>
      <c r="Q26" s="1">
        <v>278.06175596617612</v>
      </c>
      <c r="R26" s="1">
        <v>994545.03053114563</v>
      </c>
    </row>
    <row r="27" spans="1:18" x14ac:dyDescent="0.35">
      <c r="A27" s="9" t="s">
        <v>0</v>
      </c>
      <c r="B27" s="9" t="s">
        <v>0</v>
      </c>
      <c r="C27" s="9" t="s">
        <v>0</v>
      </c>
      <c r="D27" s="9">
        <v>10000</v>
      </c>
      <c r="E27">
        <v>1299951.4226145379</v>
      </c>
      <c r="F27">
        <f>MultipleMatchInexactNumericSafe(A27,B27,C27,D27)</f>
        <v>1299951.42261454</v>
      </c>
      <c r="G27">
        <f>IF(ABS(E27-F27)&lt; 0.000001,0,1)</f>
        <v>0</v>
      </c>
      <c r="M27" t="s">
        <v>0</v>
      </c>
      <c r="N27" t="s">
        <v>1</v>
      </c>
      <c r="O27" t="s">
        <v>2</v>
      </c>
      <c r="P27">
        <v>2</v>
      </c>
      <c r="Q27" s="1">
        <v>587.95282824522997</v>
      </c>
      <c r="R27" s="1">
        <v>1127401.9652630771</v>
      </c>
    </row>
    <row r="28" spans="1:18" x14ac:dyDescent="0.35">
      <c r="A28" s="9" t="s">
        <v>0</v>
      </c>
      <c r="B28" s="9" t="s">
        <v>0</v>
      </c>
      <c r="C28" s="9" t="s">
        <v>2</v>
      </c>
      <c r="D28" s="9">
        <v>1000</v>
      </c>
      <c r="E28">
        <v>1</v>
      </c>
      <c r="F28">
        <f>MultipleMatchInexactNumericSafe(A28,B28,C28,D28)</f>
        <v>1</v>
      </c>
      <c r="G28">
        <f>IF(ABS(E28-F28)&lt; 0.000001,0,1)</f>
        <v>0</v>
      </c>
      <c r="M28" t="s">
        <v>0</v>
      </c>
      <c r="N28" t="s">
        <v>1</v>
      </c>
      <c r="O28" t="s">
        <v>2</v>
      </c>
      <c r="P28">
        <v>3</v>
      </c>
      <c r="Q28" s="1">
        <v>1862.6122899355958</v>
      </c>
      <c r="R28" s="1">
        <v>1377671.0267613917</v>
      </c>
    </row>
    <row r="29" spans="1:18" x14ac:dyDescent="0.35">
      <c r="A29" s="9" t="s">
        <v>0</v>
      </c>
      <c r="B29" s="9" t="s">
        <v>0</v>
      </c>
      <c r="C29" s="9" t="s">
        <v>2</v>
      </c>
      <c r="D29" s="9">
        <v>40</v>
      </c>
      <c r="E29">
        <v>1</v>
      </c>
      <c r="F29">
        <f>MultipleMatchInexactNumericSafe(A29,B29,C29,D29)</f>
        <v>1</v>
      </c>
      <c r="G29">
        <f>IF(ABS(E29-F29)&lt; 0.000001,0,1)</f>
        <v>0</v>
      </c>
      <c r="M29" t="s">
        <v>0</v>
      </c>
      <c r="N29" t="s">
        <v>2</v>
      </c>
      <c r="O29" t="s">
        <v>0</v>
      </c>
      <c r="P29">
        <v>0</v>
      </c>
      <c r="Q29" s="1">
        <v>0</v>
      </c>
      <c r="R29" s="1">
        <v>1</v>
      </c>
    </row>
    <row r="30" spans="1:18" x14ac:dyDescent="0.35">
      <c r="A30" s="9" t="s">
        <v>0</v>
      </c>
      <c r="B30" s="9" t="s">
        <v>0</v>
      </c>
      <c r="C30" s="9" t="s">
        <v>2</v>
      </c>
      <c r="D30" s="9">
        <v>10000</v>
      </c>
      <c r="E30">
        <v>53042320.468393937</v>
      </c>
      <c r="F30">
        <f>MultipleMatchInexactNumericSafe(A30,B30,C30,D30)</f>
        <v>53042320.4683939</v>
      </c>
      <c r="G30">
        <f>IF(ABS(E30-F30)&lt; 0.000001,0,1)</f>
        <v>0</v>
      </c>
      <c r="M30" t="s">
        <v>0</v>
      </c>
      <c r="N30" t="s">
        <v>2</v>
      </c>
      <c r="O30" t="s">
        <v>0</v>
      </c>
      <c r="P30">
        <v>1</v>
      </c>
      <c r="Q30" s="1">
        <v>112.88403832055414</v>
      </c>
      <c r="R30" s="1">
        <v>2753.2131779106417</v>
      </c>
    </row>
    <row r="31" spans="1:18" x14ac:dyDescent="0.35">
      <c r="A31" s="9" t="s">
        <v>0</v>
      </c>
      <c r="B31" s="9" t="s">
        <v>2</v>
      </c>
      <c r="C31" s="9" t="s">
        <v>0</v>
      </c>
      <c r="D31" s="9">
        <v>1000</v>
      </c>
      <c r="E31">
        <v>3101.589411034814</v>
      </c>
      <c r="F31">
        <f>MultipleMatchInexactNumericSafe(A31,B31,C31,D31)</f>
        <v>3101.5894110348099</v>
      </c>
      <c r="G31">
        <f>IF(ABS(E31-F31)&lt; 0.000001,0,1)</f>
        <v>0</v>
      </c>
      <c r="M31" t="s">
        <v>0</v>
      </c>
      <c r="N31" t="s">
        <v>2</v>
      </c>
      <c r="O31" t="s">
        <v>0</v>
      </c>
      <c r="P31">
        <v>2</v>
      </c>
      <c r="Q31" s="1">
        <v>349.37047016031266</v>
      </c>
      <c r="R31" s="1">
        <v>3101.589411034814</v>
      </c>
    </row>
    <row r="32" spans="1:18" x14ac:dyDescent="0.35">
      <c r="A32" s="9" t="s">
        <v>0</v>
      </c>
      <c r="B32" s="9" t="s">
        <v>2</v>
      </c>
      <c r="C32" s="9" t="s">
        <v>0</v>
      </c>
      <c r="D32" s="9">
        <v>40</v>
      </c>
      <c r="E32">
        <v>1</v>
      </c>
      <c r="F32">
        <f>MultipleMatchInexactNumericSafe(A32,B32,C32,D32)</f>
        <v>1</v>
      </c>
      <c r="G32">
        <f>IF(ABS(E32-F32)&lt; 0.000001,0,1)</f>
        <v>0</v>
      </c>
      <c r="M32" t="s">
        <v>0</v>
      </c>
      <c r="N32" t="s">
        <v>2</v>
      </c>
      <c r="O32" t="s">
        <v>0</v>
      </c>
      <c r="P32">
        <v>3</v>
      </c>
      <c r="Q32" s="1">
        <v>2378.2040176678197</v>
      </c>
      <c r="R32" s="1">
        <v>4539.3154429614697</v>
      </c>
    </row>
    <row r="33" spans="1:18" x14ac:dyDescent="0.35">
      <c r="A33" s="9" t="s">
        <v>0</v>
      </c>
      <c r="B33" s="9" t="s">
        <v>2</v>
      </c>
      <c r="C33" s="9" t="s">
        <v>0</v>
      </c>
      <c r="D33" s="9">
        <v>10000</v>
      </c>
      <c r="E33">
        <v>4539.3154429614697</v>
      </c>
      <c r="F33">
        <f>MultipleMatchInexactNumericSafe(A33,B33,C33,D33)</f>
        <v>4539.3154429614697</v>
      </c>
      <c r="G33">
        <f>IF(ABS(E33-F33)&lt; 0.000001,0,1)</f>
        <v>0</v>
      </c>
      <c r="M33" t="s">
        <v>0</v>
      </c>
      <c r="N33" t="s">
        <v>2</v>
      </c>
      <c r="O33" t="s">
        <v>1</v>
      </c>
      <c r="P33">
        <v>0</v>
      </c>
      <c r="Q33" s="1">
        <v>0</v>
      </c>
      <c r="R33" s="1">
        <v>1</v>
      </c>
    </row>
    <row r="34" spans="1:18" x14ac:dyDescent="0.35">
      <c r="A34" s="9" t="s">
        <v>0</v>
      </c>
      <c r="B34" s="9" t="s">
        <v>2</v>
      </c>
      <c r="C34" s="9" t="s">
        <v>2</v>
      </c>
      <c r="D34" s="9">
        <v>1000</v>
      </c>
      <c r="E34">
        <v>1</v>
      </c>
      <c r="F34">
        <f>MultipleMatchInexactNumericSafe(A34,B34,C34,D34)</f>
        <v>1</v>
      </c>
      <c r="G34">
        <f>IF(ABS(E34-F34)&lt; 0.000001,0,1)</f>
        <v>0</v>
      </c>
      <c r="M34" t="s">
        <v>0</v>
      </c>
      <c r="N34" t="s">
        <v>2</v>
      </c>
      <c r="O34" t="s">
        <v>1</v>
      </c>
      <c r="P34">
        <v>1</v>
      </c>
      <c r="Q34" s="1">
        <v>129.2490594466469</v>
      </c>
      <c r="R34" s="1">
        <v>492298374.75386935</v>
      </c>
    </row>
    <row r="35" spans="1:18" x14ac:dyDescent="0.35">
      <c r="A35" s="9" t="s">
        <v>0</v>
      </c>
      <c r="B35" s="9" t="s">
        <v>2</v>
      </c>
      <c r="C35" s="9" t="s">
        <v>2</v>
      </c>
      <c r="D35" s="9">
        <v>40</v>
      </c>
      <c r="E35">
        <v>1</v>
      </c>
      <c r="F35">
        <f>MultipleMatchInexactNumericSafe(A35,B35,C35,D35)</f>
        <v>1</v>
      </c>
      <c r="G35">
        <f>IF(ABS(E35-F35)&lt; 0.000001,0,1)</f>
        <v>0</v>
      </c>
      <c r="M35" t="s">
        <v>0</v>
      </c>
      <c r="N35" t="s">
        <v>2</v>
      </c>
      <c r="O35" t="s">
        <v>1</v>
      </c>
      <c r="P35">
        <v>2</v>
      </c>
      <c r="Q35" s="1">
        <v>197.10315070279705</v>
      </c>
      <c r="R35" s="1">
        <v>497782341.92626888</v>
      </c>
    </row>
    <row r="36" spans="1:18" x14ac:dyDescent="0.35">
      <c r="A36" s="9" t="s">
        <v>0</v>
      </c>
      <c r="B36" s="9" t="s">
        <v>2</v>
      </c>
      <c r="C36" s="9" t="s">
        <v>2</v>
      </c>
      <c r="D36" s="9">
        <v>10000</v>
      </c>
      <c r="E36">
        <v>42802.149821908024</v>
      </c>
      <c r="F36">
        <f>MultipleMatchInexactNumericSafe(A36,B36,C36,D36)</f>
        <v>42802.149821908002</v>
      </c>
      <c r="G36">
        <f>IF(ABS(E36-F36)&lt; 0.000001,0,1)</f>
        <v>0</v>
      </c>
      <c r="M36" t="s">
        <v>0</v>
      </c>
      <c r="N36" t="s">
        <v>2</v>
      </c>
      <c r="O36" t="s">
        <v>1</v>
      </c>
      <c r="P36">
        <v>3</v>
      </c>
      <c r="Q36" s="1">
        <v>284.1446936821232</v>
      </c>
      <c r="R36" s="1">
        <v>697695792.001284</v>
      </c>
    </row>
    <row r="37" spans="1:18" x14ac:dyDescent="0.35">
      <c r="A37" s="9" t="s">
        <v>1</v>
      </c>
      <c r="B37" s="9" t="s">
        <v>0</v>
      </c>
      <c r="C37" s="9" t="s">
        <v>0</v>
      </c>
      <c r="D37" s="9">
        <v>1000</v>
      </c>
      <c r="E37">
        <v>0</v>
      </c>
      <c r="F37">
        <f>MultipleMatchInexactNumericSafe(A37,B37,C37,D37)</f>
        <v>0</v>
      </c>
      <c r="G37">
        <f>IF(ABS(E37-F37)&lt; 0.000001,0,1)</f>
        <v>0</v>
      </c>
      <c r="M37" t="s">
        <v>0</v>
      </c>
      <c r="N37" t="s">
        <v>2</v>
      </c>
      <c r="O37" t="s">
        <v>2</v>
      </c>
      <c r="P37">
        <v>0</v>
      </c>
      <c r="Q37" s="1">
        <v>0</v>
      </c>
      <c r="R37" s="1">
        <v>1</v>
      </c>
    </row>
    <row r="38" spans="1:18" x14ac:dyDescent="0.35">
      <c r="A38" s="9" t="s">
        <v>1</v>
      </c>
      <c r="B38" s="9" t="s">
        <v>0</v>
      </c>
      <c r="C38" s="9" t="s">
        <v>0</v>
      </c>
      <c r="D38" s="9">
        <v>40</v>
      </c>
      <c r="E38">
        <v>0</v>
      </c>
      <c r="F38">
        <f>MultipleMatchInexactNumericSafe(A38,B38,C38,D38)</f>
        <v>0</v>
      </c>
      <c r="G38">
        <f>IF(ABS(E38-F38)&lt; 0.000001,0,1)</f>
        <v>0</v>
      </c>
      <c r="M38" t="s">
        <v>0</v>
      </c>
      <c r="N38" t="s">
        <v>2</v>
      </c>
      <c r="O38" t="s">
        <v>2</v>
      </c>
      <c r="P38">
        <v>1</v>
      </c>
      <c r="Q38" s="1">
        <v>1944.3980527740302</v>
      </c>
      <c r="R38" s="1">
        <v>31169.364696789249</v>
      </c>
    </row>
    <row r="39" spans="1:18" x14ac:dyDescent="0.35">
      <c r="A39" s="9" t="s">
        <v>1</v>
      </c>
      <c r="B39" s="9" t="s">
        <v>0</v>
      </c>
      <c r="C39" s="9" t="s">
        <v>0</v>
      </c>
      <c r="D39" s="9">
        <v>10000</v>
      </c>
      <c r="E39">
        <v>0</v>
      </c>
      <c r="F39">
        <f>MultipleMatchInexactNumericSafe(A39,B39,C39,D39)</f>
        <v>0</v>
      </c>
      <c r="G39">
        <f>IF(ABS(E39-F39)&lt; 0.000001,0,1)</f>
        <v>0</v>
      </c>
      <c r="M39" t="s">
        <v>0</v>
      </c>
      <c r="N39" t="s">
        <v>2</v>
      </c>
      <c r="O39" t="s">
        <v>2</v>
      </c>
      <c r="P39">
        <v>2</v>
      </c>
      <c r="Q39" s="1">
        <v>5979.9346993100335</v>
      </c>
      <c r="R39" s="1">
        <v>39786.88693888743</v>
      </c>
    </row>
    <row r="40" spans="1:18" x14ac:dyDescent="0.35">
      <c r="A40" s="9" t="s">
        <v>1</v>
      </c>
      <c r="B40" s="9" t="s">
        <v>0</v>
      </c>
      <c r="C40" s="9" t="s">
        <v>2</v>
      </c>
      <c r="D40" s="9">
        <v>1000</v>
      </c>
      <c r="E40">
        <v>292241.80813188077</v>
      </c>
      <c r="F40">
        <f>MultipleMatchInexactNumericSafe(A40,B40,C40,D40)</f>
        <v>292241.808131881</v>
      </c>
      <c r="G40">
        <f>IF(ABS(E40-F40)&lt; 0.000001,0,1)</f>
        <v>0</v>
      </c>
      <c r="M40" t="s">
        <v>0</v>
      </c>
      <c r="N40" t="s">
        <v>2</v>
      </c>
      <c r="O40" t="s">
        <v>2</v>
      </c>
      <c r="P40">
        <v>3</v>
      </c>
      <c r="Q40" s="1">
        <v>9976.4162195488516</v>
      </c>
      <c r="R40" s="1">
        <v>42802.149821908024</v>
      </c>
    </row>
    <row r="41" spans="1:18" x14ac:dyDescent="0.35">
      <c r="A41" s="9" t="s">
        <v>1</v>
      </c>
      <c r="B41" s="9" t="s">
        <v>0</v>
      </c>
      <c r="C41" s="9" t="s">
        <v>2</v>
      </c>
      <c r="D41" s="9">
        <v>40</v>
      </c>
      <c r="E41">
        <v>292241.80813188077</v>
      </c>
      <c r="F41">
        <f>MultipleMatchInexactNumericSafe(A41,B41,C41,D41)</f>
        <v>292241.808131881</v>
      </c>
      <c r="G41">
        <f>IF(ABS(E41-F41)&lt; 0.000001,0,1)</f>
        <v>0</v>
      </c>
      <c r="M41" t="s">
        <v>1</v>
      </c>
      <c r="N41" t="s">
        <v>0</v>
      </c>
      <c r="O41" t="s">
        <v>0</v>
      </c>
      <c r="P41">
        <v>1</v>
      </c>
      <c r="Q41" s="1">
        <v>50483.727912004491</v>
      </c>
      <c r="R41" s="1">
        <v>14.645643749229539</v>
      </c>
    </row>
    <row r="42" spans="1:18" x14ac:dyDescent="0.35">
      <c r="A42" s="9" t="s">
        <v>1</v>
      </c>
      <c r="B42" s="9" t="s">
        <v>0</v>
      </c>
      <c r="C42" s="9" t="s">
        <v>2</v>
      </c>
      <c r="D42" s="9">
        <v>10000</v>
      </c>
      <c r="E42">
        <v>292241.80813188077</v>
      </c>
      <c r="F42">
        <f>MultipleMatchInexactNumericSafe(A42,B42,C42,D42)</f>
        <v>292241.808131881</v>
      </c>
      <c r="G42">
        <f>IF(ABS(E42-F42)&lt; 0.000001,0,1)</f>
        <v>0</v>
      </c>
      <c r="M42" t="s">
        <v>1</v>
      </c>
      <c r="N42" t="s">
        <v>0</v>
      </c>
      <c r="O42" t="s">
        <v>0</v>
      </c>
      <c r="P42">
        <v>2</v>
      </c>
      <c r="Q42" s="1">
        <v>70854.229385690473</v>
      </c>
      <c r="R42" s="1">
        <v>15.576829448940069</v>
      </c>
    </row>
    <row r="43" spans="1:18" x14ac:dyDescent="0.35">
      <c r="A43" s="9" t="s">
        <v>1</v>
      </c>
      <c r="B43" s="9" t="s">
        <v>2</v>
      </c>
      <c r="C43" s="9" t="s">
        <v>0</v>
      </c>
      <c r="D43" s="9">
        <v>1000</v>
      </c>
      <c r="E43">
        <v>671275.63408292818</v>
      </c>
      <c r="F43">
        <f>MultipleMatchInexactNumericSafe(A43,B43,C43,D43)</f>
        <v>671275.63408292795</v>
      </c>
      <c r="G43">
        <f>IF(ABS(E43-F43)&lt; 0.000001,0,1)</f>
        <v>0</v>
      </c>
      <c r="M43" t="s">
        <v>1</v>
      </c>
      <c r="N43" t="s">
        <v>0</v>
      </c>
      <c r="O43" t="s">
        <v>0</v>
      </c>
      <c r="P43">
        <v>3</v>
      </c>
      <c r="Q43" s="1">
        <v>73692.139723088141</v>
      </c>
      <c r="R43" s="1">
        <v>16.193903967407252</v>
      </c>
    </row>
    <row r="44" spans="1:18" x14ac:dyDescent="0.35">
      <c r="A44" s="9" t="s">
        <v>1</v>
      </c>
      <c r="B44" s="9" t="s">
        <v>2</v>
      </c>
      <c r="C44" s="9" t="s">
        <v>0</v>
      </c>
      <c r="D44" s="9">
        <v>40</v>
      </c>
      <c r="E44">
        <v>1</v>
      </c>
      <c r="F44">
        <f>MultipleMatchInexactNumericSafe(A44,B44,C44,D44)</f>
        <v>1</v>
      </c>
      <c r="G44">
        <f>IF(ABS(E44-F44)&lt; 0.000001,0,1)</f>
        <v>0</v>
      </c>
      <c r="M44" t="s">
        <v>1</v>
      </c>
      <c r="N44" t="s">
        <v>0</v>
      </c>
      <c r="O44" t="s">
        <v>1</v>
      </c>
      <c r="P44">
        <v>0</v>
      </c>
      <c r="Q44" s="1">
        <v>0</v>
      </c>
      <c r="R44" s="1">
        <v>1</v>
      </c>
    </row>
    <row r="45" spans="1:18" x14ac:dyDescent="0.35">
      <c r="A45" s="9" t="s">
        <v>1</v>
      </c>
      <c r="B45" s="9" t="s">
        <v>2</v>
      </c>
      <c r="C45" s="9" t="s">
        <v>0</v>
      </c>
      <c r="D45" s="9">
        <v>10000</v>
      </c>
      <c r="E45">
        <v>671275.63408292818</v>
      </c>
      <c r="F45">
        <f>MultipleMatchInexactNumericSafe(A45,B45,C45,D45)</f>
        <v>671275.63408292795</v>
      </c>
      <c r="G45">
        <f>IF(ABS(E45-F45)&lt; 0.000001,0,1)</f>
        <v>0</v>
      </c>
      <c r="M45" t="s">
        <v>1</v>
      </c>
      <c r="N45" t="s">
        <v>0</v>
      </c>
      <c r="O45" t="s">
        <v>1</v>
      </c>
      <c r="P45">
        <v>1</v>
      </c>
      <c r="Q45" s="1">
        <v>2.4807518739444765</v>
      </c>
      <c r="R45" s="1">
        <v>3238.7463303242307</v>
      </c>
    </row>
    <row r="46" spans="1:18" x14ac:dyDescent="0.35">
      <c r="A46" s="9" t="s">
        <v>1</v>
      </c>
      <c r="B46" s="9" t="s">
        <v>2</v>
      </c>
      <c r="C46" s="9" t="s">
        <v>2</v>
      </c>
      <c r="D46" s="9">
        <v>1000</v>
      </c>
      <c r="E46">
        <v>418.03649604351335</v>
      </c>
      <c r="F46">
        <f>MultipleMatchInexactNumericSafe(A46,B46,C46,D46)</f>
        <v>418.03649604351301</v>
      </c>
      <c r="G46">
        <f>IF(ABS(E46-F46)&lt; 0.000001,0,1)</f>
        <v>0</v>
      </c>
      <c r="M46" t="s">
        <v>1</v>
      </c>
      <c r="N46" t="s">
        <v>0</v>
      </c>
      <c r="O46" t="s">
        <v>1</v>
      </c>
      <c r="P46">
        <v>2</v>
      </c>
      <c r="Q46" s="1">
        <v>3.5399956870465266</v>
      </c>
      <c r="R46" s="1">
        <v>4959.4936497493691</v>
      </c>
    </row>
    <row r="47" spans="1:18" x14ac:dyDescent="0.35">
      <c r="A47" s="9" t="s">
        <v>1</v>
      </c>
      <c r="B47" s="9" t="s">
        <v>2</v>
      </c>
      <c r="C47" s="9" t="s">
        <v>2</v>
      </c>
      <c r="D47" s="9">
        <v>40</v>
      </c>
      <c r="E47">
        <v>418.03649604351335</v>
      </c>
      <c r="F47">
        <f>MultipleMatchInexactNumericSafe(A47,B47,C47,D47)</f>
        <v>418.03649604351301</v>
      </c>
      <c r="G47">
        <f>IF(ABS(E47-F47)&lt; 0.000001,0,1)</f>
        <v>0</v>
      </c>
      <c r="M47" t="s">
        <v>1</v>
      </c>
      <c r="N47" t="s">
        <v>0</v>
      </c>
      <c r="O47" t="s">
        <v>1</v>
      </c>
      <c r="P47">
        <v>3</v>
      </c>
      <c r="Q47" s="1">
        <v>5.3186917042826574</v>
      </c>
      <c r="R47" s="1">
        <v>12219.767854770258</v>
      </c>
    </row>
    <row r="48" spans="1:18" x14ac:dyDescent="0.35">
      <c r="A48" s="9" t="s">
        <v>1</v>
      </c>
      <c r="B48" s="9" t="s">
        <v>2</v>
      </c>
      <c r="C48" s="9" t="s">
        <v>2</v>
      </c>
      <c r="D48" s="9">
        <v>10000</v>
      </c>
      <c r="E48">
        <v>418.03649604351335</v>
      </c>
      <c r="F48">
        <f>MultipleMatchInexactNumericSafe(A48,B48,C48,D48)</f>
        <v>418.03649604351301</v>
      </c>
      <c r="G48">
        <f>IF(ABS(E48-F48)&lt; 0.000001,0,1)</f>
        <v>0</v>
      </c>
      <c r="M48" t="s">
        <v>1</v>
      </c>
      <c r="N48" t="s">
        <v>0</v>
      </c>
      <c r="O48" t="s">
        <v>2</v>
      </c>
      <c r="P48">
        <v>0</v>
      </c>
      <c r="Q48" s="1">
        <v>0</v>
      </c>
      <c r="R48" s="1">
        <v>1</v>
      </c>
    </row>
    <row r="49" spans="1:20" x14ac:dyDescent="0.35">
      <c r="A49" s="9" t="s">
        <v>2</v>
      </c>
      <c r="B49" s="9" t="s">
        <v>0</v>
      </c>
      <c r="C49" s="9" t="s">
        <v>0</v>
      </c>
      <c r="D49" s="9">
        <v>1000</v>
      </c>
      <c r="E49">
        <v>76072677.45279552</v>
      </c>
      <c r="F49">
        <f>MultipleMatchInexactNumericSafe(A49,B49,C49,D49)</f>
        <v>76072677.452795506</v>
      </c>
      <c r="G49">
        <f>IF(ABS(E49-F49)&lt; 0.000001,0,1)</f>
        <v>0</v>
      </c>
      <c r="M49" t="s">
        <v>1</v>
      </c>
      <c r="N49" t="s">
        <v>0</v>
      </c>
      <c r="O49" t="s">
        <v>2</v>
      </c>
      <c r="P49">
        <v>1</v>
      </c>
      <c r="Q49" s="1">
        <v>5.2610046638076966</v>
      </c>
      <c r="R49" s="1">
        <v>203650.33207131701</v>
      </c>
    </row>
    <row r="50" spans="1:20" x14ac:dyDescent="0.35">
      <c r="A50" s="9" t="s">
        <v>2</v>
      </c>
      <c r="B50" s="9" t="s">
        <v>0</v>
      </c>
      <c r="C50" s="9" t="s">
        <v>0</v>
      </c>
      <c r="D50" s="9">
        <v>40</v>
      </c>
      <c r="E50">
        <v>1</v>
      </c>
      <c r="F50">
        <f>MultipleMatchInexactNumericSafe(A50,B50,C50,D50)</f>
        <v>1</v>
      </c>
      <c r="G50">
        <f>IF(ABS(E50-F50)&lt; 0.000001,0,1)</f>
        <v>0</v>
      </c>
      <c r="M50" t="s">
        <v>1</v>
      </c>
      <c r="N50" t="s">
        <v>0</v>
      </c>
      <c r="O50" t="s">
        <v>2</v>
      </c>
      <c r="P50">
        <v>2</v>
      </c>
      <c r="Q50" s="1">
        <v>8.5030935565335444</v>
      </c>
      <c r="R50" s="1">
        <v>256067.63076211899</v>
      </c>
      <c r="T50" s="6"/>
    </row>
    <row r="51" spans="1:20" x14ac:dyDescent="0.35">
      <c r="A51" s="9" t="s">
        <v>2</v>
      </c>
      <c r="B51" s="9" t="s">
        <v>0</v>
      </c>
      <c r="C51" s="9" t="s">
        <v>0</v>
      </c>
      <c r="D51" s="9">
        <v>10000</v>
      </c>
      <c r="E51">
        <v>76072677.45279552</v>
      </c>
      <c r="F51">
        <f>MultipleMatchInexactNumericSafe(A51,B51,C51,D51)</f>
        <v>76072677.452795506</v>
      </c>
      <c r="G51">
        <f>IF(ABS(E51-F51)&lt; 0.000001,0,1)</f>
        <v>0</v>
      </c>
      <c r="M51" t="s">
        <v>1</v>
      </c>
      <c r="N51" t="s">
        <v>0</v>
      </c>
      <c r="O51" t="s">
        <v>2</v>
      </c>
      <c r="P51">
        <v>3</v>
      </c>
      <c r="Q51" s="1">
        <v>14.203542751488309</v>
      </c>
      <c r="R51" s="1">
        <v>292241.80813188077</v>
      </c>
    </row>
    <row r="52" spans="1:20" x14ac:dyDescent="0.35">
      <c r="A52" s="9" t="s">
        <v>2</v>
      </c>
      <c r="B52" s="9" t="s">
        <v>0</v>
      </c>
      <c r="C52" s="9" t="s">
        <v>2</v>
      </c>
      <c r="D52" s="9">
        <v>1000</v>
      </c>
      <c r="E52">
        <v>3.3623867508680561</v>
      </c>
      <c r="F52">
        <f>MultipleMatchInexactNumericSafe(A52,B52,C52,D52)</f>
        <v>3.36238675086806</v>
      </c>
      <c r="G52">
        <f>IF(ABS(E52-F52)&lt; 0.000001,0,1)</f>
        <v>0</v>
      </c>
      <c r="M52" t="s">
        <v>1</v>
      </c>
      <c r="N52" t="s">
        <v>1</v>
      </c>
      <c r="O52" t="s">
        <v>0</v>
      </c>
      <c r="P52">
        <v>0</v>
      </c>
      <c r="Q52" s="1">
        <v>0</v>
      </c>
      <c r="R52" s="1">
        <v>1</v>
      </c>
    </row>
    <row r="53" spans="1:20" x14ac:dyDescent="0.35">
      <c r="A53" s="9" t="s">
        <v>2</v>
      </c>
      <c r="B53" s="9" t="s">
        <v>0</v>
      </c>
      <c r="C53" s="9" t="s">
        <v>2</v>
      </c>
      <c r="D53" s="9">
        <v>40</v>
      </c>
      <c r="E53">
        <v>1</v>
      </c>
      <c r="F53">
        <f>MultipleMatchInexactNumericSafe(A53,B53,C53,D53)</f>
        <v>1</v>
      </c>
      <c r="G53">
        <f>IF(ABS(E53-F53)&lt; 0.000001,0,1)</f>
        <v>0</v>
      </c>
      <c r="M53" t="s">
        <v>1</v>
      </c>
      <c r="N53" t="s">
        <v>1</v>
      </c>
      <c r="O53" t="s">
        <v>0</v>
      </c>
      <c r="P53">
        <v>1</v>
      </c>
      <c r="Q53" s="1">
        <v>371.39932612569993</v>
      </c>
      <c r="R53" s="1">
        <v>46.48373439255387</v>
      </c>
    </row>
    <row r="54" spans="1:20" x14ac:dyDescent="0.35">
      <c r="A54" s="9" t="s">
        <v>2</v>
      </c>
      <c r="B54" s="9" t="s">
        <v>0</v>
      </c>
      <c r="C54" s="9" t="s">
        <v>2</v>
      </c>
      <c r="D54" s="9">
        <v>10000</v>
      </c>
      <c r="E54">
        <v>6.1781690159130553</v>
      </c>
      <c r="F54">
        <f>MultipleMatchInexactNumericSafe(A54,B54,C54,D54)</f>
        <v>6.1781690159130598</v>
      </c>
      <c r="G54">
        <f>IF(ABS(E54-F54)&lt; 0.000001,0,1)</f>
        <v>0</v>
      </c>
      <c r="M54" t="s">
        <v>1</v>
      </c>
      <c r="N54" t="s">
        <v>1</v>
      </c>
      <c r="O54" t="s">
        <v>0</v>
      </c>
      <c r="P54">
        <v>2</v>
      </c>
      <c r="Q54" s="1">
        <v>525.19371925760788</v>
      </c>
      <c r="R54" s="1">
        <v>56.893980910799328</v>
      </c>
    </row>
    <row r="55" spans="1:20" x14ac:dyDescent="0.35">
      <c r="A55" s="9" t="s">
        <v>2</v>
      </c>
      <c r="B55" s="9" t="s">
        <v>2</v>
      </c>
      <c r="C55" s="9" t="s">
        <v>0</v>
      </c>
      <c r="D55" s="9">
        <v>1000</v>
      </c>
      <c r="E55">
        <v>84505017.868354648</v>
      </c>
      <c r="F55">
        <f>MultipleMatchInexactNumericSafe(A55,B55,C55,D55)</f>
        <v>84505017.868354604</v>
      </c>
      <c r="G55">
        <f>IF(ABS(E55-F55)&lt; 0.000001,0,1)</f>
        <v>0</v>
      </c>
      <c r="M55" t="s">
        <v>1</v>
      </c>
      <c r="N55" t="s">
        <v>1</v>
      </c>
      <c r="O55" t="s">
        <v>0</v>
      </c>
      <c r="P55">
        <v>3</v>
      </c>
      <c r="Q55" s="1">
        <v>621.9294586135677</v>
      </c>
      <c r="R55" s="1">
        <v>71.268761877017184</v>
      </c>
    </row>
    <row r="56" spans="1:20" x14ac:dyDescent="0.35">
      <c r="A56" s="9" t="s">
        <v>2</v>
      </c>
      <c r="B56" s="9" t="s">
        <v>2</v>
      </c>
      <c r="C56" s="9" t="s">
        <v>0</v>
      </c>
      <c r="D56" s="9">
        <v>40</v>
      </c>
      <c r="E56">
        <v>84505017.868354648</v>
      </c>
      <c r="F56">
        <f>MultipleMatchInexactNumericSafe(A56,B56,C56,D56)</f>
        <v>84505017.868354604</v>
      </c>
      <c r="G56">
        <f>IF(ABS(E56-F56)&lt; 0.000001,0,1)</f>
        <v>0</v>
      </c>
      <c r="M56" t="s">
        <v>1</v>
      </c>
      <c r="N56" t="s">
        <v>1</v>
      </c>
      <c r="O56" t="s">
        <v>1</v>
      </c>
      <c r="P56">
        <v>0</v>
      </c>
      <c r="Q56" s="1">
        <v>0</v>
      </c>
      <c r="R56" s="1">
        <v>1</v>
      </c>
    </row>
    <row r="57" spans="1:20" x14ac:dyDescent="0.35">
      <c r="A57" s="9" t="s">
        <v>2</v>
      </c>
      <c r="B57" s="9" t="s">
        <v>2</v>
      </c>
      <c r="C57" s="9" t="s">
        <v>0</v>
      </c>
      <c r="D57" s="9">
        <v>10000</v>
      </c>
      <c r="E57">
        <v>84505017.868354648</v>
      </c>
      <c r="F57">
        <f>MultipleMatchInexactNumericSafe(A57,B57,C57,D57)</f>
        <v>84505017.868354604</v>
      </c>
      <c r="G57">
        <f>IF(ABS(E57-F57)&lt; 0.000001,0,1)</f>
        <v>0</v>
      </c>
      <c r="M57" t="s">
        <v>1</v>
      </c>
      <c r="N57" t="s">
        <v>1</v>
      </c>
      <c r="O57" t="s">
        <v>1</v>
      </c>
      <c r="P57">
        <v>1</v>
      </c>
      <c r="Q57" s="1">
        <v>519.88799083871697</v>
      </c>
      <c r="R57" s="1">
        <v>320124.77738085127</v>
      </c>
    </row>
    <row r="58" spans="1:20" x14ac:dyDescent="0.35">
      <c r="A58" s="9" t="s">
        <v>2</v>
      </c>
      <c r="B58" s="9" t="s">
        <v>2</v>
      </c>
      <c r="C58" s="9" t="s">
        <v>2</v>
      </c>
      <c r="D58" s="9">
        <v>1000</v>
      </c>
      <c r="E58">
        <v>1</v>
      </c>
      <c r="F58">
        <f>MultipleMatchInexactNumericSafe(A58,B58,C58,D58)</f>
        <v>1</v>
      </c>
      <c r="G58">
        <f>IF(ABS(E58-F58)&lt; 0.000001,0,1)</f>
        <v>0</v>
      </c>
      <c r="M58" t="s">
        <v>1</v>
      </c>
      <c r="N58" t="s">
        <v>1</v>
      </c>
      <c r="O58" t="s">
        <v>1</v>
      </c>
      <c r="P58">
        <v>2</v>
      </c>
      <c r="Q58" s="1">
        <v>526.52405245594662</v>
      </c>
      <c r="R58" s="1">
        <v>355372.59344571125</v>
      </c>
    </row>
    <row r="59" spans="1:20" x14ac:dyDescent="0.35">
      <c r="A59" s="9" t="s">
        <v>2</v>
      </c>
      <c r="B59" s="9" t="s">
        <v>2</v>
      </c>
      <c r="C59" s="9" t="s">
        <v>2</v>
      </c>
      <c r="D59" s="9">
        <v>40</v>
      </c>
      <c r="E59">
        <v>1</v>
      </c>
      <c r="F59">
        <f>MultipleMatchInexactNumericSafe(A59,B59,C59,D59)</f>
        <v>1</v>
      </c>
      <c r="G59">
        <f>IF(ABS(E59-F59)&lt; 0.000001,0,1)</f>
        <v>0</v>
      </c>
      <c r="M59" t="s">
        <v>1</v>
      </c>
      <c r="N59" t="s">
        <v>1</v>
      </c>
      <c r="O59" t="s">
        <v>1</v>
      </c>
      <c r="P59">
        <v>3</v>
      </c>
      <c r="Q59" s="1">
        <v>618.11766001930232</v>
      </c>
      <c r="R59" s="1">
        <v>506386.85926206462</v>
      </c>
    </row>
    <row r="60" spans="1:20" x14ac:dyDescent="0.35">
      <c r="A60" s="9" t="s">
        <v>2</v>
      </c>
      <c r="B60" s="9" t="s">
        <v>2</v>
      </c>
      <c r="C60" s="9" t="s">
        <v>2</v>
      </c>
      <c r="D60" s="9">
        <v>10000</v>
      </c>
      <c r="E60">
        <v>342.0241096241877</v>
      </c>
      <c r="F60">
        <f>MultipleMatchInexactNumericSafe(A60,B60,C60,D60)</f>
        <v>342.02410962418799</v>
      </c>
      <c r="G60">
        <f>IF(ABS(E60-F60)&lt; 0.000001,0,1)</f>
        <v>0</v>
      </c>
      <c r="M60" t="s">
        <v>1</v>
      </c>
      <c r="N60" t="s">
        <v>1</v>
      </c>
      <c r="O60" t="s">
        <v>2</v>
      </c>
      <c r="P60">
        <v>0</v>
      </c>
      <c r="Q60" s="1">
        <v>0</v>
      </c>
      <c r="R60" s="1">
        <v>1</v>
      </c>
    </row>
    <row r="61" spans="1:20" x14ac:dyDescent="0.35">
      <c r="A61" s="9" t="s">
        <v>0</v>
      </c>
      <c r="B61" s="9" t="s">
        <v>1</v>
      </c>
      <c r="C61" s="9" t="s">
        <v>2</v>
      </c>
      <c r="D61" s="9">
        <v>-10</v>
      </c>
      <c r="E61">
        <v>1</v>
      </c>
      <c r="F61">
        <f>MultipleMatchInexactNumericSafe(A61,B61,C61,D61)</f>
        <v>1</v>
      </c>
      <c r="G61">
        <f>IF(ABS(E61-F61)&lt; 0.000001,0,1)</f>
        <v>0</v>
      </c>
      <c r="M61" t="s">
        <v>1</v>
      </c>
      <c r="N61" t="s">
        <v>1</v>
      </c>
      <c r="O61" t="s">
        <v>2</v>
      </c>
      <c r="P61">
        <v>1</v>
      </c>
      <c r="Q61" s="1">
        <v>1736.7797038684457</v>
      </c>
      <c r="R61" s="1">
        <v>12.87471229305198</v>
      </c>
    </row>
    <row r="62" spans="1:20" x14ac:dyDescent="0.35">
      <c r="A62" s="9" t="s">
        <v>2</v>
      </c>
      <c r="B62" s="9" t="s">
        <v>1</v>
      </c>
      <c r="C62" s="9" t="s">
        <v>1</v>
      </c>
      <c r="D62" s="9">
        <v>-10</v>
      </c>
      <c r="E62">
        <v>1</v>
      </c>
      <c r="F62">
        <f>MultipleMatchInexactNumericSafe(A62,B62,C62,D62)</f>
        <v>1</v>
      </c>
      <c r="G62">
        <f>IF(ABS(E62-F62)&lt; 0.000001,0,1)</f>
        <v>0</v>
      </c>
      <c r="M62" t="s">
        <v>1</v>
      </c>
      <c r="N62" t="s">
        <v>1</v>
      </c>
      <c r="O62" t="s">
        <v>2</v>
      </c>
      <c r="P62">
        <v>2</v>
      </c>
      <c r="Q62" s="1">
        <v>2347.9951809806389</v>
      </c>
      <c r="R62" s="1">
        <v>18.315298363592774</v>
      </c>
    </row>
    <row r="63" spans="1:20" x14ac:dyDescent="0.35">
      <c r="A63" s="9" t="s">
        <v>1</v>
      </c>
      <c r="B63" s="9" t="s">
        <v>0</v>
      </c>
      <c r="C63" s="9" t="s">
        <v>2</v>
      </c>
      <c r="D63" s="9">
        <v>-40</v>
      </c>
      <c r="E63">
        <v>1</v>
      </c>
      <c r="F63">
        <f>MultipleMatchInexactNumericSafe(A63,B63,C63,D63)</f>
        <v>1</v>
      </c>
      <c r="G63">
        <f>IF(ABS(E63-F63)&lt; 0.000001,0,1)</f>
        <v>0</v>
      </c>
      <c r="M63" t="s">
        <v>1</v>
      </c>
      <c r="N63" t="s">
        <v>1</v>
      </c>
      <c r="O63" t="s">
        <v>2</v>
      </c>
      <c r="P63">
        <v>3</v>
      </c>
      <c r="Q63" s="1">
        <v>2951.0177698249026</v>
      </c>
      <c r="R63" s="1">
        <v>30.565287266593028</v>
      </c>
    </row>
    <row r="64" spans="1:20" x14ac:dyDescent="0.35">
      <c r="M64" t="s">
        <v>1</v>
      </c>
      <c r="N64" t="s">
        <v>2</v>
      </c>
      <c r="O64" t="s">
        <v>0</v>
      </c>
      <c r="P64">
        <v>0</v>
      </c>
      <c r="Q64" s="1">
        <v>0</v>
      </c>
      <c r="R64" s="1">
        <v>1</v>
      </c>
    </row>
    <row r="65" spans="13:18" x14ac:dyDescent="0.35">
      <c r="M65" t="s">
        <v>1</v>
      </c>
      <c r="N65" t="s">
        <v>2</v>
      </c>
      <c r="O65" t="s">
        <v>0</v>
      </c>
      <c r="P65">
        <v>1</v>
      </c>
      <c r="Q65" s="1">
        <v>534.61053936190672</v>
      </c>
      <c r="R65" s="1">
        <v>818574.40221290139</v>
      </c>
    </row>
    <row r="66" spans="13:18" x14ac:dyDescent="0.35">
      <c r="M66" t="s">
        <v>1</v>
      </c>
      <c r="N66" t="s">
        <v>2</v>
      </c>
      <c r="O66" t="s">
        <v>0</v>
      </c>
      <c r="P66">
        <v>2</v>
      </c>
      <c r="Q66" s="1">
        <v>535.83743552267015</v>
      </c>
      <c r="R66" s="1">
        <v>473429.77754060243</v>
      </c>
    </row>
    <row r="67" spans="13:18" x14ac:dyDescent="0.35">
      <c r="M67" t="s">
        <v>1</v>
      </c>
      <c r="N67" t="s">
        <v>2</v>
      </c>
      <c r="O67" t="s">
        <v>0</v>
      </c>
      <c r="P67">
        <v>3</v>
      </c>
      <c r="Q67" s="1">
        <v>740.44056101033595</v>
      </c>
      <c r="R67" s="1">
        <v>671275.63408292818</v>
      </c>
    </row>
    <row r="68" spans="13:18" x14ac:dyDescent="0.35">
      <c r="M68" t="s">
        <v>1</v>
      </c>
      <c r="N68" t="s">
        <v>2</v>
      </c>
      <c r="O68" t="s">
        <v>1</v>
      </c>
      <c r="P68">
        <v>0</v>
      </c>
      <c r="Q68" s="1">
        <v>0</v>
      </c>
      <c r="R68" s="1">
        <v>1</v>
      </c>
    </row>
    <row r="69" spans="13:18" x14ac:dyDescent="0.35">
      <c r="M69" t="s">
        <v>1</v>
      </c>
      <c r="N69" t="s">
        <v>2</v>
      </c>
      <c r="O69" t="s">
        <v>1</v>
      </c>
      <c r="P69">
        <v>1</v>
      </c>
      <c r="Q69" s="1">
        <v>873.90333670947098</v>
      </c>
      <c r="R69" s="1">
        <v>5.5308464608446828</v>
      </c>
    </row>
    <row r="70" spans="13:18" x14ac:dyDescent="0.35">
      <c r="M70" t="s">
        <v>1</v>
      </c>
      <c r="N70" t="s">
        <v>2</v>
      </c>
      <c r="O70" t="s">
        <v>1</v>
      </c>
      <c r="P70">
        <v>2</v>
      </c>
      <c r="Q70" s="1">
        <v>1640.7421997836814</v>
      </c>
      <c r="R70" s="1">
        <v>3.7891915013635131</v>
      </c>
    </row>
    <row r="71" spans="13:18" x14ac:dyDescent="0.35">
      <c r="M71" t="s">
        <v>1</v>
      </c>
      <c r="N71" t="s">
        <v>2</v>
      </c>
      <c r="O71" t="s">
        <v>1</v>
      </c>
      <c r="P71">
        <v>3</v>
      </c>
      <c r="Q71" s="1">
        <v>2167.1256906430149</v>
      </c>
      <c r="R71" s="1">
        <v>5.2369261422376665</v>
      </c>
    </row>
    <row r="72" spans="13:18" x14ac:dyDescent="0.35">
      <c r="M72" t="s">
        <v>1</v>
      </c>
      <c r="N72" t="s">
        <v>2</v>
      </c>
      <c r="O72" t="s">
        <v>2</v>
      </c>
      <c r="P72">
        <v>0</v>
      </c>
      <c r="Q72" s="1">
        <v>0</v>
      </c>
      <c r="R72" s="1">
        <v>1</v>
      </c>
    </row>
    <row r="73" spans="13:18" x14ac:dyDescent="0.35">
      <c r="M73" t="s">
        <v>1</v>
      </c>
      <c r="N73" t="s">
        <v>2</v>
      </c>
      <c r="O73" t="s">
        <v>2</v>
      </c>
      <c r="P73">
        <v>1</v>
      </c>
      <c r="Q73" s="1">
        <v>4.5893843322318366</v>
      </c>
      <c r="R73" s="1">
        <v>271.32608217273702</v>
      </c>
    </row>
    <row r="74" spans="13:18" x14ac:dyDescent="0.35">
      <c r="M74" t="s">
        <v>1</v>
      </c>
      <c r="N74" t="s">
        <v>2</v>
      </c>
      <c r="O74" t="s">
        <v>2</v>
      </c>
      <c r="P74">
        <v>2</v>
      </c>
      <c r="Q74" s="1">
        <v>6.917525477163986</v>
      </c>
      <c r="R74" s="1">
        <v>378.73130130993701</v>
      </c>
    </row>
    <row r="75" spans="13:18" x14ac:dyDescent="0.35">
      <c r="M75" t="s">
        <v>1</v>
      </c>
      <c r="N75" t="s">
        <v>2</v>
      </c>
      <c r="O75" t="s">
        <v>2</v>
      </c>
      <c r="P75">
        <v>3</v>
      </c>
      <c r="Q75" s="1">
        <v>8.2619091128049185</v>
      </c>
      <c r="R75" s="1">
        <v>418.03649604351335</v>
      </c>
    </row>
    <row r="76" spans="13:18" x14ac:dyDescent="0.35">
      <c r="M76" t="s">
        <v>2</v>
      </c>
      <c r="N76" t="s">
        <v>0</v>
      </c>
      <c r="O76" t="s">
        <v>0</v>
      </c>
      <c r="P76">
        <v>0</v>
      </c>
      <c r="Q76" s="1">
        <v>0</v>
      </c>
      <c r="R76" s="1">
        <v>1</v>
      </c>
    </row>
    <row r="77" spans="13:18" x14ac:dyDescent="0.35">
      <c r="M77" t="s">
        <v>2</v>
      </c>
      <c r="N77" t="s">
        <v>0</v>
      </c>
      <c r="O77" t="s">
        <v>0</v>
      </c>
      <c r="P77">
        <v>1</v>
      </c>
      <c r="Q77" s="1">
        <v>169.76245902684471</v>
      </c>
      <c r="R77" s="1">
        <v>11026500.943488406</v>
      </c>
    </row>
    <row r="78" spans="13:18" x14ac:dyDescent="0.35">
      <c r="M78" t="s">
        <v>2</v>
      </c>
      <c r="N78" t="s">
        <v>0</v>
      </c>
      <c r="O78" t="s">
        <v>0</v>
      </c>
      <c r="P78">
        <v>2</v>
      </c>
      <c r="Q78" s="1">
        <v>260.35087688671661</v>
      </c>
      <c r="R78" s="1">
        <v>26327365.012117598</v>
      </c>
    </row>
    <row r="79" spans="13:18" x14ac:dyDescent="0.35">
      <c r="M79" t="s">
        <v>2</v>
      </c>
      <c r="N79" t="s">
        <v>0</v>
      </c>
      <c r="O79" t="s">
        <v>0</v>
      </c>
      <c r="P79">
        <v>3</v>
      </c>
      <c r="Q79" s="1">
        <v>329.02527865688</v>
      </c>
      <c r="R79" s="1">
        <v>76072677.45279552</v>
      </c>
    </row>
    <row r="80" spans="13:18" x14ac:dyDescent="0.35">
      <c r="M80" t="s">
        <v>2</v>
      </c>
      <c r="N80" t="s">
        <v>0</v>
      </c>
      <c r="O80" t="s">
        <v>1</v>
      </c>
      <c r="P80">
        <v>0</v>
      </c>
      <c r="Q80" s="1">
        <v>0</v>
      </c>
      <c r="R80" s="1">
        <v>1</v>
      </c>
    </row>
    <row r="81" spans="13:18" x14ac:dyDescent="0.35">
      <c r="M81" t="s">
        <v>2</v>
      </c>
      <c r="N81" t="s">
        <v>0</v>
      </c>
      <c r="O81" t="s">
        <v>1</v>
      </c>
      <c r="P81">
        <v>1</v>
      </c>
      <c r="Q81" s="1">
        <v>45281.487312221827</v>
      </c>
      <c r="R81" s="1">
        <v>22988818.230815407</v>
      </c>
    </row>
    <row r="82" spans="13:18" x14ac:dyDescent="0.35">
      <c r="M82" t="s">
        <v>2</v>
      </c>
      <c r="N82" t="s">
        <v>0</v>
      </c>
      <c r="O82" t="s">
        <v>1</v>
      </c>
      <c r="P82">
        <v>2</v>
      </c>
      <c r="Q82" s="1">
        <v>64311.555948999267</v>
      </c>
      <c r="R82" s="1">
        <v>36179080.498874679</v>
      </c>
    </row>
    <row r="83" spans="13:18" x14ac:dyDescent="0.35">
      <c r="M83" t="s">
        <v>2</v>
      </c>
      <c r="N83" t="s">
        <v>0</v>
      </c>
      <c r="O83" t="s">
        <v>1</v>
      </c>
      <c r="P83">
        <v>3</v>
      </c>
      <c r="Q83" s="1">
        <v>77218.254144733932</v>
      </c>
      <c r="R83" s="1">
        <v>41616148.875773117</v>
      </c>
    </row>
    <row r="84" spans="13:18" x14ac:dyDescent="0.35">
      <c r="M84" t="s">
        <v>2</v>
      </c>
      <c r="N84" t="s">
        <v>0</v>
      </c>
      <c r="O84" t="s">
        <v>2</v>
      </c>
      <c r="P84">
        <v>0</v>
      </c>
      <c r="Q84" s="1">
        <v>0</v>
      </c>
      <c r="R84" s="1">
        <v>1</v>
      </c>
    </row>
    <row r="85" spans="13:18" x14ac:dyDescent="0.35">
      <c r="M85" t="s">
        <v>2</v>
      </c>
      <c r="N85" t="s">
        <v>0</v>
      </c>
      <c r="O85" t="s">
        <v>2</v>
      </c>
      <c r="P85">
        <v>1</v>
      </c>
      <c r="Q85" s="1">
        <v>357.56914715059258</v>
      </c>
      <c r="R85" s="1">
        <v>3.3623867508680561</v>
      </c>
    </row>
    <row r="86" spans="13:18" x14ac:dyDescent="0.35">
      <c r="M86" t="s">
        <v>2</v>
      </c>
      <c r="N86" t="s">
        <v>0</v>
      </c>
      <c r="O86" t="s">
        <v>2</v>
      </c>
      <c r="P86">
        <v>2</v>
      </c>
      <c r="Q86" s="1">
        <v>4290.0529519584898</v>
      </c>
      <c r="R86" s="1">
        <v>5.3319706053934741</v>
      </c>
    </row>
    <row r="87" spans="13:18" x14ac:dyDescent="0.35">
      <c r="M87" t="s">
        <v>2</v>
      </c>
      <c r="N87" t="s">
        <v>0</v>
      </c>
      <c r="O87" t="s">
        <v>2</v>
      </c>
      <c r="P87">
        <v>3</v>
      </c>
      <c r="Q87" s="1">
        <v>9240.1940859427687</v>
      </c>
      <c r="R87" s="1">
        <v>6.1781690159130553</v>
      </c>
    </row>
    <row r="88" spans="13:18" x14ac:dyDescent="0.35">
      <c r="M88" t="s">
        <v>2</v>
      </c>
      <c r="N88" t="s">
        <v>1</v>
      </c>
      <c r="O88" t="s">
        <v>0</v>
      </c>
      <c r="P88">
        <v>0</v>
      </c>
      <c r="Q88" s="1">
        <v>0</v>
      </c>
      <c r="R88" s="1">
        <v>1</v>
      </c>
    </row>
    <row r="89" spans="13:18" x14ac:dyDescent="0.35">
      <c r="M89" t="s">
        <v>2</v>
      </c>
      <c r="N89" t="s">
        <v>1</v>
      </c>
      <c r="O89" t="s">
        <v>0</v>
      </c>
      <c r="P89">
        <v>1</v>
      </c>
      <c r="Q89" s="1">
        <v>4</v>
      </c>
      <c r="R89" s="1">
        <v>57787.59890564072</v>
      </c>
    </row>
    <row r="90" spans="13:18" x14ac:dyDescent="0.35">
      <c r="M90" t="s">
        <v>2</v>
      </c>
      <c r="N90" t="s">
        <v>1</v>
      </c>
      <c r="O90" t="s">
        <v>0</v>
      </c>
      <c r="P90">
        <v>2</v>
      </c>
      <c r="Q90" s="1">
        <v>6.2730518734120064</v>
      </c>
      <c r="R90" s="1">
        <v>68318.461285329176</v>
      </c>
    </row>
    <row r="91" spans="13:18" x14ac:dyDescent="0.35">
      <c r="M91" t="s">
        <v>2</v>
      </c>
      <c r="N91" t="s">
        <v>1</v>
      </c>
      <c r="O91" t="s">
        <v>0</v>
      </c>
      <c r="P91">
        <v>3</v>
      </c>
      <c r="Q91" s="1">
        <v>8.3739497243440049</v>
      </c>
      <c r="R91" s="1">
        <v>124006.96649103881</v>
      </c>
    </row>
    <row r="92" spans="13:18" x14ac:dyDescent="0.35">
      <c r="M92" t="s">
        <v>2</v>
      </c>
      <c r="N92" t="s">
        <v>1</v>
      </c>
      <c r="O92" t="s">
        <v>1</v>
      </c>
      <c r="P92">
        <v>0</v>
      </c>
      <c r="Q92" s="1">
        <v>0</v>
      </c>
      <c r="R92" s="1">
        <v>1</v>
      </c>
    </row>
    <row r="93" spans="13:18" x14ac:dyDescent="0.35">
      <c r="M93" t="s">
        <v>2</v>
      </c>
      <c r="N93" t="s">
        <v>1</v>
      </c>
      <c r="O93" t="s">
        <v>1</v>
      </c>
      <c r="P93">
        <v>1</v>
      </c>
      <c r="Q93" s="1">
        <v>4.0790346851490904</v>
      </c>
      <c r="R93" s="1">
        <v>487.45835834889658</v>
      </c>
    </row>
    <row r="94" spans="13:18" x14ac:dyDescent="0.35">
      <c r="M94" t="s">
        <v>2</v>
      </c>
      <c r="N94" t="s">
        <v>1</v>
      </c>
      <c r="O94" t="s">
        <v>1</v>
      </c>
      <c r="P94">
        <v>2</v>
      </c>
      <c r="Q94" s="1">
        <v>7.1174884139282417</v>
      </c>
      <c r="R94" s="1">
        <v>324.55491919161261</v>
      </c>
    </row>
    <row r="95" spans="13:18" x14ac:dyDescent="0.35">
      <c r="M95" t="s">
        <v>2</v>
      </c>
      <c r="N95" t="s">
        <v>1</v>
      </c>
      <c r="O95" t="s">
        <v>1</v>
      </c>
      <c r="P95">
        <v>3</v>
      </c>
      <c r="Q95" s="1">
        <v>8.1858124681884572</v>
      </c>
      <c r="R95" s="1">
        <v>462.94208062296951</v>
      </c>
    </row>
    <row r="96" spans="13:18" x14ac:dyDescent="0.35">
      <c r="M96" t="s">
        <v>2</v>
      </c>
      <c r="N96" t="s">
        <v>1</v>
      </c>
      <c r="O96" t="s">
        <v>2</v>
      </c>
      <c r="P96">
        <v>0</v>
      </c>
      <c r="Q96" s="1">
        <v>0</v>
      </c>
      <c r="R96" s="1">
        <v>1</v>
      </c>
    </row>
    <row r="97" spans="13:18" x14ac:dyDescent="0.35">
      <c r="M97" t="s">
        <v>2</v>
      </c>
      <c r="N97" t="s">
        <v>1</v>
      </c>
      <c r="O97" t="s">
        <v>2</v>
      </c>
      <c r="P97">
        <v>1</v>
      </c>
      <c r="Q97" s="1">
        <v>11.919228224531595</v>
      </c>
      <c r="R97" s="1">
        <v>51.552067368712819</v>
      </c>
    </row>
    <row r="98" spans="13:18" x14ac:dyDescent="0.35">
      <c r="M98" t="s">
        <v>2</v>
      </c>
      <c r="N98" t="s">
        <v>1</v>
      </c>
      <c r="O98" t="s">
        <v>2</v>
      </c>
      <c r="P98">
        <v>2</v>
      </c>
      <c r="Q98" s="1">
        <v>61.639136806336744</v>
      </c>
      <c r="R98" s="1">
        <v>32.79178065103477</v>
      </c>
    </row>
    <row r="99" spans="13:18" x14ac:dyDescent="0.35">
      <c r="M99" t="s">
        <v>2</v>
      </c>
      <c r="N99" t="s">
        <v>1</v>
      </c>
      <c r="O99" t="s">
        <v>2</v>
      </c>
      <c r="P99">
        <v>3</v>
      </c>
      <c r="Q99" s="1">
        <v>106.06842050306169</v>
      </c>
      <c r="R99" s="1">
        <v>44.226401038674453</v>
      </c>
    </row>
    <row r="100" spans="13:18" x14ac:dyDescent="0.35">
      <c r="M100" t="s">
        <v>2</v>
      </c>
      <c r="N100" t="s">
        <v>2</v>
      </c>
      <c r="O100" t="s">
        <v>0</v>
      </c>
      <c r="P100">
        <v>0</v>
      </c>
      <c r="Q100" s="1">
        <v>0</v>
      </c>
      <c r="R100" s="1">
        <v>1</v>
      </c>
    </row>
    <row r="101" spans="13:18" x14ac:dyDescent="0.35">
      <c r="M101" t="s">
        <v>2</v>
      </c>
      <c r="N101" t="s">
        <v>2</v>
      </c>
      <c r="O101" t="s">
        <v>0</v>
      </c>
      <c r="P101">
        <v>1</v>
      </c>
      <c r="Q101" s="1">
        <v>1.4749847974150934</v>
      </c>
      <c r="R101" s="1">
        <v>52266617.048029259</v>
      </c>
    </row>
    <row r="102" spans="13:18" x14ac:dyDescent="0.35">
      <c r="M102" t="s">
        <v>2</v>
      </c>
      <c r="N102" t="s">
        <v>2</v>
      </c>
      <c r="O102" t="s">
        <v>0</v>
      </c>
      <c r="P102">
        <v>2</v>
      </c>
      <c r="Q102" s="1">
        <v>2.7870405957017863</v>
      </c>
      <c r="R102" s="1">
        <v>67229039.851606011</v>
      </c>
    </row>
    <row r="103" spans="13:18" x14ac:dyDescent="0.35">
      <c r="M103" t="s">
        <v>2</v>
      </c>
      <c r="N103" t="s">
        <v>2</v>
      </c>
      <c r="O103" t="s">
        <v>0</v>
      </c>
      <c r="P103">
        <v>3</v>
      </c>
      <c r="Q103" s="1">
        <v>4.760842733190545</v>
      </c>
      <c r="R103" s="1">
        <v>84505017.868354648</v>
      </c>
    </row>
    <row r="104" spans="13:18" x14ac:dyDescent="0.35">
      <c r="M104" t="s">
        <v>2</v>
      </c>
      <c r="N104" t="s">
        <v>2</v>
      </c>
      <c r="O104" t="s">
        <v>1</v>
      </c>
      <c r="P104">
        <v>0</v>
      </c>
      <c r="Q104" s="1">
        <v>0</v>
      </c>
      <c r="R104" s="1">
        <v>1</v>
      </c>
    </row>
    <row r="105" spans="13:18" x14ac:dyDescent="0.35">
      <c r="M105" t="s">
        <v>2</v>
      </c>
      <c r="N105" t="s">
        <v>2</v>
      </c>
      <c r="O105" t="s">
        <v>1</v>
      </c>
      <c r="P105">
        <v>1</v>
      </c>
      <c r="Q105" s="1">
        <v>4.049184828269901</v>
      </c>
      <c r="R105" s="1">
        <v>452073673.79274911</v>
      </c>
    </row>
    <row r="106" spans="13:18" x14ac:dyDescent="0.35">
      <c r="M106" t="s">
        <v>2</v>
      </c>
      <c r="N106" t="s">
        <v>2</v>
      </c>
      <c r="O106" t="s">
        <v>1</v>
      </c>
      <c r="P106">
        <v>2</v>
      </c>
      <c r="Q106" s="1">
        <v>6.0945909160417031</v>
      </c>
      <c r="R106" s="1">
        <v>470325176.57976329</v>
      </c>
    </row>
    <row r="107" spans="13:18" x14ac:dyDescent="0.35">
      <c r="M107" t="s">
        <v>2</v>
      </c>
      <c r="N107" t="s">
        <v>2</v>
      </c>
      <c r="O107" t="s">
        <v>1</v>
      </c>
      <c r="P107">
        <v>3</v>
      </c>
      <c r="Q107" s="1">
        <v>9</v>
      </c>
      <c r="R107" s="1">
        <v>508133821.4006716</v>
      </c>
    </row>
    <row r="108" spans="13:18" x14ac:dyDescent="0.35">
      <c r="M108" t="s">
        <v>2</v>
      </c>
      <c r="N108" t="s">
        <v>2</v>
      </c>
      <c r="O108" t="s">
        <v>2</v>
      </c>
      <c r="P108">
        <v>0</v>
      </c>
      <c r="Q108" s="1">
        <v>0</v>
      </c>
      <c r="R108" s="1">
        <v>1</v>
      </c>
    </row>
    <row r="109" spans="13:18" x14ac:dyDescent="0.35">
      <c r="M109" t="s">
        <v>2</v>
      </c>
      <c r="N109" t="s">
        <v>2</v>
      </c>
      <c r="O109" t="s">
        <v>2</v>
      </c>
      <c r="P109">
        <v>1</v>
      </c>
      <c r="Q109" s="1">
        <v>1757.0229844103737</v>
      </c>
      <c r="R109" s="1">
        <v>291.25214247518284</v>
      </c>
    </row>
    <row r="110" spans="13:18" x14ac:dyDescent="0.35">
      <c r="M110" t="s">
        <v>2</v>
      </c>
      <c r="N110" t="s">
        <v>2</v>
      </c>
      <c r="O110" t="s">
        <v>2</v>
      </c>
      <c r="P110">
        <v>2</v>
      </c>
      <c r="Q110" s="1">
        <v>2466.7467772957793</v>
      </c>
      <c r="R110" s="1">
        <v>339.64087400512534</v>
      </c>
    </row>
    <row r="111" spans="13:18" x14ac:dyDescent="0.35">
      <c r="M111" t="s">
        <v>2</v>
      </c>
      <c r="N111" t="s">
        <v>2</v>
      </c>
      <c r="O111" t="s">
        <v>2</v>
      </c>
      <c r="P111">
        <v>3</v>
      </c>
      <c r="Q111" s="1">
        <v>4688.6956993980075</v>
      </c>
      <c r="R111" s="1">
        <v>342.0241096241877</v>
      </c>
    </row>
  </sheetData>
  <mergeCells count="1">
    <mergeCell ref="A23:D23"/>
  </mergeCells>
  <pageMargins left="0.7" right="0.7" top="0.75" bottom="0.75" header="0.3" footer="0.3"/>
  <pageSetup orientation="portrait" r:id="rId1"/>
  <tableParts count="1">
    <tablePart r:id="rId2"/>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186F8C-A441-4CBA-BC71-5116CC47FC11}">
  <sheetPr codeName="Sheet2"/>
  <dimension ref="A1:S111"/>
  <sheetViews>
    <sheetView topLeftCell="A4" workbookViewId="0">
      <selection activeCell="J17" sqref="J17"/>
    </sheetView>
  </sheetViews>
  <sheetFormatPr defaultRowHeight="14.5" x14ac:dyDescent="0.35"/>
  <cols>
    <col min="1" max="1" width="18.54296875" customWidth="1"/>
    <col min="2" max="2" width="13.36328125" bestFit="1" customWidth="1"/>
    <col min="16" max="16" width="10.453125" customWidth="1"/>
    <col min="17" max="18" width="14.453125" bestFit="1" customWidth="1"/>
    <col min="19" max="21" width="14.453125" customWidth="1"/>
    <col min="22" max="22" width="11" bestFit="1" customWidth="1"/>
  </cols>
  <sheetData>
    <row r="1" spans="1:17" hidden="1" x14ac:dyDescent="0.35">
      <c r="A1" t="s">
        <v>80</v>
      </c>
      <c r="B1" t="s">
        <v>81</v>
      </c>
    </row>
    <row r="2" spans="1:17" hidden="1" x14ac:dyDescent="0.35">
      <c r="A2" t="s">
        <v>80</v>
      </c>
    </row>
    <row r="3" spans="1:17" hidden="1" x14ac:dyDescent="0.35">
      <c r="A3" t="s">
        <v>80</v>
      </c>
    </row>
    <row r="4" spans="1:17" x14ac:dyDescent="0.35">
      <c r="A4" s="5" t="s">
        <v>67</v>
      </c>
      <c r="L4" t="s">
        <v>11</v>
      </c>
      <c r="M4" t="s">
        <v>12</v>
      </c>
      <c r="N4" t="s">
        <v>13</v>
      </c>
      <c r="O4" t="s">
        <v>5</v>
      </c>
      <c r="P4" t="s">
        <v>4</v>
      </c>
      <c r="Q4" t="s">
        <v>3</v>
      </c>
    </row>
    <row r="5" spans="1:17" x14ac:dyDescent="0.35">
      <c r="A5" t="s">
        <v>295</v>
      </c>
      <c r="L5" t="s">
        <v>0</v>
      </c>
      <c r="M5" t="s">
        <v>0</v>
      </c>
      <c r="N5" t="s">
        <v>0</v>
      </c>
      <c r="O5">
        <v>0</v>
      </c>
      <c r="P5" s="1">
        <v>0</v>
      </c>
      <c r="Q5" s="1">
        <v>1</v>
      </c>
    </row>
    <row r="6" spans="1:17" x14ac:dyDescent="0.35">
      <c r="L6" t="s">
        <v>0</v>
      </c>
      <c r="M6" t="s">
        <v>0</v>
      </c>
      <c r="N6" t="s">
        <v>0</v>
      </c>
      <c r="O6">
        <v>1</v>
      </c>
      <c r="P6" s="1">
        <v>1.5261890228122563</v>
      </c>
      <c r="Q6" s="1">
        <v>546318.83737814485</v>
      </c>
    </row>
    <row r="7" spans="1:17" x14ac:dyDescent="0.35">
      <c r="L7" t="s">
        <v>0</v>
      </c>
      <c r="M7" t="s">
        <v>0</v>
      </c>
      <c r="N7" t="s">
        <v>0</v>
      </c>
      <c r="O7">
        <v>2</v>
      </c>
      <c r="P7" s="1">
        <v>3</v>
      </c>
      <c r="Q7" s="1">
        <v>1037307.0567016189</v>
      </c>
    </row>
    <row r="8" spans="1:17" x14ac:dyDescent="0.35">
      <c r="A8" t="s">
        <v>8</v>
      </c>
      <c r="B8" s="23" t="s">
        <v>0</v>
      </c>
      <c r="L8" t="s">
        <v>0</v>
      </c>
      <c r="M8" t="s">
        <v>0</v>
      </c>
      <c r="N8" t="s">
        <v>0</v>
      </c>
      <c r="O8">
        <v>3</v>
      </c>
      <c r="P8" s="1">
        <v>6.5255204875320274</v>
      </c>
      <c r="Q8" s="1">
        <v>1299951.4226145379</v>
      </c>
    </row>
    <row r="9" spans="1:17" x14ac:dyDescent="0.35">
      <c r="A9" t="s">
        <v>7</v>
      </c>
      <c r="B9" s="23" t="s">
        <v>0</v>
      </c>
      <c r="L9" t="s">
        <v>0</v>
      </c>
      <c r="M9" t="s">
        <v>0</v>
      </c>
      <c r="N9" t="s">
        <v>1</v>
      </c>
      <c r="O9">
        <v>0</v>
      </c>
      <c r="P9" s="1">
        <v>0</v>
      </c>
      <c r="Q9" s="1">
        <v>1</v>
      </c>
    </row>
    <row r="10" spans="1:17" x14ac:dyDescent="0.35">
      <c r="A10" t="s">
        <v>6</v>
      </c>
      <c r="B10" s="23" t="s">
        <v>0</v>
      </c>
      <c r="L10" t="s">
        <v>0</v>
      </c>
      <c r="M10" t="s">
        <v>0</v>
      </c>
      <c r="N10" t="s">
        <v>1</v>
      </c>
      <c r="O10">
        <v>1</v>
      </c>
      <c r="P10" s="1">
        <v>457.89715574024206</v>
      </c>
      <c r="Q10" s="1">
        <v>6800948.9139359165</v>
      </c>
    </row>
    <row r="11" spans="1:17" x14ac:dyDescent="0.35">
      <c r="A11" t="s">
        <v>287</v>
      </c>
      <c r="B11" s="23">
        <v>3.8</v>
      </c>
      <c r="L11" t="s">
        <v>0</v>
      </c>
      <c r="M11" t="s">
        <v>0</v>
      </c>
      <c r="N11" t="s">
        <v>1</v>
      </c>
      <c r="O11">
        <v>2</v>
      </c>
      <c r="P11" s="1">
        <v>665.41974818871267</v>
      </c>
      <c r="Q11" s="1">
        <v>30577029.059039161</v>
      </c>
    </row>
    <row r="12" spans="1:17" x14ac:dyDescent="0.35">
      <c r="L12" t="s">
        <v>0</v>
      </c>
      <c r="M12" t="s">
        <v>0</v>
      </c>
      <c r="N12" t="s">
        <v>1</v>
      </c>
      <c r="O12">
        <v>3</v>
      </c>
      <c r="P12" s="1">
        <v>732.96431435521231</v>
      </c>
      <c r="Q12" s="1">
        <v>64587928.142886072</v>
      </c>
    </row>
    <row r="13" spans="1:17" x14ac:dyDescent="0.35">
      <c r="L13" t="s">
        <v>0</v>
      </c>
      <c r="M13" t="s">
        <v>0</v>
      </c>
      <c r="N13" t="s">
        <v>2</v>
      </c>
      <c r="O13">
        <v>0</v>
      </c>
      <c r="P13" s="1">
        <v>0</v>
      </c>
      <c r="Q13" s="1">
        <v>1</v>
      </c>
    </row>
    <row r="14" spans="1:17" x14ac:dyDescent="0.35">
      <c r="A14" t="s">
        <v>22</v>
      </c>
      <c r="B14" s="3" cm="1">
        <f t="array" ref="B14">SUMPRODUCT(MAX((MyTestTable[Field1]=B8)*(MyTestTable[Field2]=B9)*(MyTestTable[Field3]=B10)*(MyTestTable[lookup]&lt;=B11)*(MyTestTable[lookup])))</f>
        <v>3</v>
      </c>
      <c r="L14" t="s">
        <v>0</v>
      </c>
      <c r="M14" t="s">
        <v>0</v>
      </c>
      <c r="N14" t="s">
        <v>2</v>
      </c>
      <c r="O14">
        <v>1</v>
      </c>
      <c r="P14" s="1">
        <v>3592.9938823812686</v>
      </c>
      <c r="Q14" s="1">
        <v>36462125.075147875</v>
      </c>
    </row>
    <row r="15" spans="1:17" x14ac:dyDescent="0.35">
      <c r="A15" t="s">
        <v>21</v>
      </c>
      <c r="B15" s="3" cm="1">
        <f t="array" ref="B15">SUMPRODUCT(MAX((MyTestTable[Field1]=B8)*(MyTestTable[Field2]=B9)*(MyTestTable[Field3]=B10)*(MyTestTable[lookup])))</f>
        <v>6.5255204875320274</v>
      </c>
      <c r="L15" t="s">
        <v>0</v>
      </c>
      <c r="M15" t="s">
        <v>0</v>
      </c>
      <c r="N15" t="s">
        <v>2</v>
      </c>
      <c r="O15">
        <v>2</v>
      </c>
      <c r="P15" s="1">
        <v>4317.4518143079749</v>
      </c>
      <c r="Q15" s="1">
        <v>48438287.635287218</v>
      </c>
    </row>
    <row r="16" spans="1:17" x14ac:dyDescent="0.35">
      <c r="A16" t="s">
        <v>23</v>
      </c>
      <c r="B16" s="3" cm="1">
        <f t="array" aca="1" ref="B16" ca="1">IF(B14=B15,B15,SUMPRODUCT(MAX((MyTestTable[Field1]=B8)*(MyTestTable[Field2]=B9)*(MyTestTable[Field3]=B10)*(MyTestTable[lookup]&lt;=B11)*(OFFSET((MyTestTable[lookup]),1,0)))))</f>
        <v>6.5255204875320274</v>
      </c>
      <c r="L16" t="s">
        <v>0</v>
      </c>
      <c r="M16" t="s">
        <v>0</v>
      </c>
      <c r="N16" t="s">
        <v>2</v>
      </c>
      <c r="O16">
        <v>3</v>
      </c>
      <c r="P16" s="1">
        <v>5145.536758387444</v>
      </c>
      <c r="Q16" s="1">
        <v>53042320.468393937</v>
      </c>
    </row>
    <row r="17" spans="1:17" x14ac:dyDescent="0.35">
      <c r="A17" t="s">
        <v>24</v>
      </c>
      <c r="B17" s="3" cm="1">
        <f t="array" ref="B17">SUMPRODUCT((MyTestTable[Field1]=B8)*(MyTestTable[Field2]=B9)*(MyTestTable[Field3]=B10)*(MyTestTable[lookup]=B14)*(MyTestTable[val]))</f>
        <v>1037307.0567016189</v>
      </c>
      <c r="L17" t="s">
        <v>0</v>
      </c>
      <c r="M17" t="s">
        <v>1</v>
      </c>
      <c r="N17" t="s">
        <v>0</v>
      </c>
      <c r="O17">
        <v>0</v>
      </c>
      <c r="P17" s="1">
        <v>0</v>
      </c>
      <c r="Q17" s="1">
        <v>0.1</v>
      </c>
    </row>
    <row r="18" spans="1:17" x14ac:dyDescent="0.35">
      <c r="A18" t="s">
        <v>68</v>
      </c>
      <c r="B18" s="3" cm="1">
        <f t="array" aca="1" ref="B18" ca="1">SUMPRODUCT((MyTestTable[Field1]=B8)*(MyTestTable[Field2]=B9)*(MyTestTable[Field3]=B10)*(MyTestTable[lookup]=B16)*(MyTestTable[val]))</f>
        <v>1299951.4226145379</v>
      </c>
      <c r="L18" t="s">
        <v>0</v>
      </c>
      <c r="M18" t="s">
        <v>1</v>
      </c>
      <c r="N18" t="s">
        <v>0</v>
      </c>
      <c r="O18">
        <v>1</v>
      </c>
      <c r="P18" s="1">
        <v>1786.3712131444156</v>
      </c>
      <c r="Q18" s="1">
        <v>0.22712616889310794</v>
      </c>
    </row>
    <row r="19" spans="1:17" x14ac:dyDescent="0.35">
      <c r="B19" s="3"/>
      <c r="L19" t="s">
        <v>0</v>
      </c>
      <c r="M19" t="s">
        <v>1</v>
      </c>
      <c r="N19" t="s">
        <v>0</v>
      </c>
      <c r="O19">
        <v>2</v>
      </c>
      <c r="P19" s="1">
        <v>2650.1850237489953</v>
      </c>
      <c r="Q19" s="1">
        <v>0.37457202935904388</v>
      </c>
    </row>
    <row r="20" spans="1:17" x14ac:dyDescent="0.35">
      <c r="A20" t="s">
        <v>25</v>
      </c>
      <c r="B20" s="22">
        <f ca="1">IF(B16&gt;B14,((B11-B14)/(B16-B14))*(B18-B17)+B17,B18)</f>
        <v>1096905.4886135613</v>
      </c>
      <c r="L20" t="s">
        <v>0</v>
      </c>
      <c r="M20" t="s">
        <v>1</v>
      </c>
      <c r="N20" t="s">
        <v>0</v>
      </c>
      <c r="O20">
        <v>3</v>
      </c>
      <c r="P20" s="1">
        <v>3118.6786834445575</v>
      </c>
      <c r="Q20" s="1">
        <v>0.758624074119986</v>
      </c>
    </row>
    <row r="21" spans="1:17" x14ac:dyDescent="0.35">
      <c r="L21" t="s">
        <v>0</v>
      </c>
      <c r="M21" t="s">
        <v>1</v>
      </c>
      <c r="N21" t="s">
        <v>1</v>
      </c>
      <c r="O21">
        <v>0</v>
      </c>
      <c r="P21" s="1">
        <v>0</v>
      </c>
      <c r="Q21" s="1">
        <v>1</v>
      </c>
    </row>
    <row r="22" spans="1:17" x14ac:dyDescent="0.35">
      <c r="L22" t="s">
        <v>0</v>
      </c>
      <c r="M22" t="s">
        <v>1</v>
      </c>
      <c r="N22" t="s">
        <v>1</v>
      </c>
      <c r="O22">
        <v>1</v>
      </c>
      <c r="P22" s="1">
        <v>1068.9539981067799</v>
      </c>
      <c r="Q22" s="1">
        <v>60653.911812046506</v>
      </c>
    </row>
    <row r="23" spans="1:17" x14ac:dyDescent="0.35">
      <c r="A23" s="27" t="s">
        <v>75</v>
      </c>
      <c r="B23" s="27"/>
      <c r="C23" s="27"/>
      <c r="D23" s="27"/>
      <c r="E23" s="7" t="s">
        <v>76</v>
      </c>
      <c r="F23" s="7" t="s">
        <v>77</v>
      </c>
      <c r="G23" s="7" t="s">
        <v>78</v>
      </c>
      <c r="L23" t="s">
        <v>0</v>
      </c>
      <c r="M23" t="s">
        <v>1</v>
      </c>
      <c r="N23" t="s">
        <v>1</v>
      </c>
      <c r="O23">
        <v>2</v>
      </c>
      <c r="P23" s="1">
        <v>1643.0837159550099</v>
      </c>
      <c r="Q23" s="1">
        <v>137161.14910324372</v>
      </c>
    </row>
    <row r="24" spans="1:17" x14ac:dyDescent="0.35">
      <c r="A24" t="s">
        <v>8</v>
      </c>
      <c r="B24" t="s">
        <v>7</v>
      </c>
      <c r="C24" t="s">
        <v>6</v>
      </c>
      <c r="D24" t="s">
        <v>287</v>
      </c>
      <c r="E24" t="s">
        <v>25</v>
      </c>
      <c r="F24" t="s">
        <v>25</v>
      </c>
      <c r="G24" t="s">
        <v>25</v>
      </c>
      <c r="I24" t="s">
        <v>79</v>
      </c>
      <c r="J24">
        <f>SUM(G25:G63)</f>
        <v>0</v>
      </c>
      <c r="L24" t="s">
        <v>0</v>
      </c>
      <c r="M24" t="s">
        <v>1</v>
      </c>
      <c r="N24" t="s">
        <v>1</v>
      </c>
      <c r="O24">
        <v>3</v>
      </c>
      <c r="P24" s="1">
        <v>1756.3905837575001</v>
      </c>
      <c r="Q24" s="1">
        <v>191434.0762295124</v>
      </c>
    </row>
    <row r="25" spans="1:17" x14ac:dyDescent="0.35">
      <c r="A25" s="9" t="s">
        <v>0</v>
      </c>
      <c r="B25" s="9" t="s">
        <v>0</v>
      </c>
      <c r="C25" s="9" t="s">
        <v>0</v>
      </c>
      <c r="D25" s="9">
        <v>1000</v>
      </c>
      <c r="E25">
        <v>1299951.4226145379</v>
      </c>
      <c r="F25">
        <f>interp(A25,B25,C25,D25)</f>
        <v>1299951.42261454</v>
      </c>
      <c r="G25">
        <f>IF(ABS(E25-F25)&lt; 0.000001,0,1)</f>
        <v>0</v>
      </c>
      <c r="L25" t="s">
        <v>0</v>
      </c>
      <c r="M25" t="s">
        <v>1</v>
      </c>
      <c r="N25" t="s">
        <v>2</v>
      </c>
      <c r="O25">
        <v>0</v>
      </c>
      <c r="P25" s="1">
        <v>0</v>
      </c>
      <c r="Q25" s="1">
        <v>1</v>
      </c>
    </row>
    <row r="26" spans="1:17" x14ac:dyDescent="0.35">
      <c r="A26" s="9" t="s">
        <v>0</v>
      </c>
      <c r="B26" s="9" t="s">
        <v>0</v>
      </c>
      <c r="C26" s="9" t="s">
        <v>0</v>
      </c>
      <c r="D26" s="9">
        <v>40</v>
      </c>
      <c r="E26">
        <v>1299951.4226145379</v>
      </c>
      <c r="F26">
        <f>interp(A26,B26,C26,D26)</f>
        <v>1299951.42261454</v>
      </c>
      <c r="G26">
        <f>IF(ABS(E26-F26)&lt; 0.000001,0,1)</f>
        <v>0</v>
      </c>
      <c r="L26" t="s">
        <v>0</v>
      </c>
      <c r="M26" t="s">
        <v>1</v>
      </c>
      <c r="N26" t="s">
        <v>2</v>
      </c>
      <c r="O26">
        <v>1</v>
      </c>
      <c r="P26" s="1">
        <v>278.06175596617612</v>
      </c>
      <c r="Q26" s="1">
        <v>994545.03053114563</v>
      </c>
    </row>
    <row r="27" spans="1:17" x14ac:dyDescent="0.35">
      <c r="A27" s="9" t="s">
        <v>0</v>
      </c>
      <c r="B27" s="9" t="s">
        <v>0</v>
      </c>
      <c r="C27" s="9" t="s">
        <v>0</v>
      </c>
      <c r="D27" s="9">
        <v>10000</v>
      </c>
      <c r="E27">
        <v>1299951.4226145379</v>
      </c>
      <c r="F27">
        <f>interp(A27,B27,C27,D27)</f>
        <v>1299951.42261454</v>
      </c>
      <c r="G27">
        <f>IF(ABS(E27-F27)&lt; 0.000001,0,1)</f>
        <v>0</v>
      </c>
      <c r="L27" t="s">
        <v>0</v>
      </c>
      <c r="M27" t="s">
        <v>1</v>
      </c>
      <c r="N27" t="s">
        <v>2</v>
      </c>
      <c r="O27">
        <v>2</v>
      </c>
      <c r="P27" s="1">
        <v>587.95282824522997</v>
      </c>
      <c r="Q27" s="1">
        <v>1127401.9652630771</v>
      </c>
    </row>
    <row r="28" spans="1:17" x14ac:dyDescent="0.35">
      <c r="A28" s="9" t="s">
        <v>0</v>
      </c>
      <c r="B28" s="9" t="s">
        <v>0</v>
      </c>
      <c r="C28" s="9" t="s">
        <v>2</v>
      </c>
      <c r="D28" s="9">
        <v>1000</v>
      </c>
      <c r="E28">
        <v>10148118.494422918</v>
      </c>
      <c r="F28">
        <f>interp(A28,B28,C28,D28)</f>
        <v>10148118.49442292</v>
      </c>
      <c r="G28">
        <f>IF(ABS(E28-F28)&lt; 0.000001,0,1)</f>
        <v>0</v>
      </c>
      <c r="L28" t="s">
        <v>0</v>
      </c>
      <c r="M28" t="s">
        <v>1</v>
      </c>
      <c r="N28" t="s">
        <v>2</v>
      </c>
      <c r="O28">
        <v>3</v>
      </c>
      <c r="P28" s="1">
        <v>1862.6122899355958</v>
      </c>
      <c r="Q28" s="1">
        <v>1377671.0267613917</v>
      </c>
    </row>
    <row r="29" spans="1:17" x14ac:dyDescent="0.35">
      <c r="A29" s="9" t="s">
        <v>0</v>
      </c>
      <c r="B29" s="9" t="s">
        <v>0</v>
      </c>
      <c r="C29" s="9" t="s">
        <v>2</v>
      </c>
      <c r="D29" s="9">
        <v>40</v>
      </c>
      <c r="E29">
        <v>405925.69977691676</v>
      </c>
      <c r="F29">
        <f>interp(A29,B29,C29,D29)</f>
        <v>405925.69977691682</v>
      </c>
      <c r="G29">
        <f>IF(ABS(E29-F29)&lt; 0.000001,0,1)</f>
        <v>0</v>
      </c>
      <c r="L29" t="s">
        <v>0</v>
      </c>
      <c r="M29" t="s">
        <v>2</v>
      </c>
      <c r="N29" t="s">
        <v>0</v>
      </c>
      <c r="O29">
        <v>0</v>
      </c>
      <c r="P29" s="1">
        <v>0</v>
      </c>
      <c r="Q29" s="1">
        <v>1</v>
      </c>
    </row>
    <row r="30" spans="1:17" x14ac:dyDescent="0.35">
      <c r="A30" s="9" t="s">
        <v>0</v>
      </c>
      <c r="B30" s="9" t="s">
        <v>0</v>
      </c>
      <c r="C30" s="9" t="s">
        <v>2</v>
      </c>
      <c r="D30" s="9">
        <v>10000</v>
      </c>
      <c r="E30">
        <v>53042320.468393937</v>
      </c>
      <c r="F30">
        <f>interp(A30,B30,C30,D30)</f>
        <v>53042320.4683939</v>
      </c>
      <c r="G30">
        <f>IF(ABS(E30-F30)&lt; 0.000001,0,1)</f>
        <v>0</v>
      </c>
      <c r="L30" t="s">
        <v>0</v>
      </c>
      <c r="M30" t="s">
        <v>2</v>
      </c>
      <c r="N30" t="s">
        <v>0</v>
      </c>
      <c r="O30">
        <v>1</v>
      </c>
      <c r="P30" s="1">
        <v>112.88403832055414</v>
      </c>
      <c r="Q30" s="1">
        <v>2753.2131779106417</v>
      </c>
    </row>
    <row r="31" spans="1:17" x14ac:dyDescent="0.35">
      <c r="A31" s="9" t="s">
        <v>0</v>
      </c>
      <c r="B31" s="9" t="s">
        <v>2</v>
      </c>
      <c r="C31" s="9" t="s">
        <v>0</v>
      </c>
      <c r="D31" s="9">
        <v>1000</v>
      </c>
      <c r="E31">
        <v>3562.6558269268048</v>
      </c>
      <c r="F31">
        <f>interp(A31,B31,C31,D31)</f>
        <v>3562.6558269268016</v>
      </c>
      <c r="G31">
        <f>IF(ABS(E31-F31)&lt; 0.000001,0,1)</f>
        <v>0</v>
      </c>
      <c r="L31" t="s">
        <v>0</v>
      </c>
      <c r="M31" t="s">
        <v>2</v>
      </c>
      <c r="N31" t="s">
        <v>0</v>
      </c>
      <c r="O31">
        <v>2</v>
      </c>
      <c r="P31" s="1">
        <v>349.37047016031266</v>
      </c>
      <c r="Q31" s="1">
        <v>3101.589411034814</v>
      </c>
    </row>
    <row r="32" spans="1:17" x14ac:dyDescent="0.35">
      <c r="A32" s="9" t="s">
        <v>0</v>
      </c>
      <c r="B32" s="9" t="s">
        <v>2</v>
      </c>
      <c r="C32" s="9" t="s">
        <v>0</v>
      </c>
      <c r="D32" s="9">
        <v>40</v>
      </c>
      <c r="E32">
        <v>976.23554927942837</v>
      </c>
      <c r="F32">
        <f>interp(A32,B32,C32,D32)</f>
        <v>976.23554927942905</v>
      </c>
      <c r="G32">
        <f>IF(ABS(E32-F32)&lt; 0.000001,0,1)</f>
        <v>0</v>
      </c>
      <c r="L32" t="s">
        <v>0</v>
      </c>
      <c r="M32" t="s">
        <v>2</v>
      </c>
      <c r="N32" t="s">
        <v>0</v>
      </c>
      <c r="O32">
        <v>3</v>
      </c>
      <c r="P32" s="1">
        <v>2378.2040176678197</v>
      </c>
      <c r="Q32" s="1">
        <v>4539.3154429614697</v>
      </c>
    </row>
    <row r="33" spans="1:17" x14ac:dyDescent="0.35">
      <c r="A33" s="9" t="s">
        <v>0</v>
      </c>
      <c r="B33" s="9" t="s">
        <v>2</v>
      </c>
      <c r="C33" s="9" t="s">
        <v>0</v>
      </c>
      <c r="D33" s="9">
        <v>10000</v>
      </c>
      <c r="E33">
        <v>4539.3154429614697</v>
      </c>
      <c r="F33">
        <f>interp(A33,B33,C33,D33)</f>
        <v>4539.3154429614697</v>
      </c>
      <c r="G33">
        <f>IF(ABS(E33-F33)&lt; 0.000001,0,1)</f>
        <v>0</v>
      </c>
      <c r="L33" t="s">
        <v>0</v>
      </c>
      <c r="M33" t="s">
        <v>2</v>
      </c>
      <c r="N33" t="s">
        <v>1</v>
      </c>
      <c r="O33">
        <v>0</v>
      </c>
      <c r="P33" s="1">
        <v>0</v>
      </c>
      <c r="Q33" s="1">
        <v>1</v>
      </c>
    </row>
    <row r="34" spans="1:17" x14ac:dyDescent="0.35">
      <c r="A34" s="9" t="s">
        <v>0</v>
      </c>
      <c r="B34" s="9" t="s">
        <v>2</v>
      </c>
      <c r="C34" s="9" t="s">
        <v>2</v>
      </c>
      <c r="D34" s="9">
        <v>1000</v>
      </c>
      <c r="E34">
        <v>16030.827150012841</v>
      </c>
      <c r="F34">
        <f>interp(A34,B34,C34,D34)</f>
        <v>16030.827150012816</v>
      </c>
      <c r="G34">
        <f>IF(ABS(E34-F34)&lt; 0.000001,0,1)</f>
        <v>0</v>
      </c>
      <c r="L34" t="s">
        <v>0</v>
      </c>
      <c r="M34" t="s">
        <v>2</v>
      </c>
      <c r="N34" t="s">
        <v>1</v>
      </c>
      <c r="O34">
        <v>1</v>
      </c>
      <c r="P34" s="1">
        <v>129.2490594466469</v>
      </c>
      <c r="Q34" s="1">
        <v>492298374.75386935</v>
      </c>
    </row>
    <row r="35" spans="1:17" x14ac:dyDescent="0.35">
      <c r="A35" s="9" t="s">
        <v>0</v>
      </c>
      <c r="B35" s="9" t="s">
        <v>2</v>
      </c>
      <c r="C35" s="9" t="s">
        <v>2</v>
      </c>
      <c r="D35" s="9">
        <v>40</v>
      </c>
      <c r="E35">
        <v>642.19308600051363</v>
      </c>
      <c r="F35">
        <f>interp(A35,B35,C35,D35)</f>
        <v>642.19308600051261</v>
      </c>
      <c r="G35">
        <f>IF(ABS(E35-F35)&lt; 0.000001,0,1)</f>
        <v>0</v>
      </c>
      <c r="L35" t="s">
        <v>0</v>
      </c>
      <c r="M35" t="s">
        <v>2</v>
      </c>
      <c r="N35" t="s">
        <v>1</v>
      </c>
      <c r="O35">
        <v>2</v>
      </c>
      <c r="P35" s="1">
        <v>197.10315070279705</v>
      </c>
      <c r="Q35" s="1">
        <v>497782341.92626888</v>
      </c>
    </row>
    <row r="36" spans="1:17" x14ac:dyDescent="0.35">
      <c r="A36" s="9" t="s">
        <v>0</v>
      </c>
      <c r="B36" s="9" t="s">
        <v>2</v>
      </c>
      <c r="C36" s="9" t="s">
        <v>2</v>
      </c>
      <c r="D36" s="9">
        <v>10000</v>
      </c>
      <c r="E36">
        <v>42802.149821908024</v>
      </c>
      <c r="F36">
        <f>interp(A36,B36,C36,D36)</f>
        <v>42802.149821908002</v>
      </c>
      <c r="G36">
        <f>IF(ABS(E36-F36)&lt; 0.000001,0,1)</f>
        <v>0</v>
      </c>
      <c r="L36" t="s">
        <v>0</v>
      </c>
      <c r="M36" t="s">
        <v>2</v>
      </c>
      <c r="N36" t="s">
        <v>1</v>
      </c>
      <c r="O36">
        <v>3</v>
      </c>
      <c r="P36" s="1">
        <v>284.1446936821232</v>
      </c>
      <c r="Q36" s="1">
        <v>697695792.001284</v>
      </c>
    </row>
    <row r="37" spans="1:17" x14ac:dyDescent="0.35">
      <c r="A37" s="9" t="s">
        <v>1</v>
      </c>
      <c r="B37" s="9" t="s">
        <v>0</v>
      </c>
      <c r="C37" s="9" t="s">
        <v>0</v>
      </c>
      <c r="D37" s="9">
        <v>1000</v>
      </c>
      <c r="E37">
        <v>0</v>
      </c>
      <c r="F37">
        <f>interp(A37,B37,C37,D37)</f>
        <v>0</v>
      </c>
      <c r="G37">
        <f>IF(ABS(E37-F37)&lt; 0.000001,0,1)</f>
        <v>0</v>
      </c>
      <c r="L37" t="s">
        <v>0</v>
      </c>
      <c r="M37" t="s">
        <v>2</v>
      </c>
      <c r="N37" t="s">
        <v>2</v>
      </c>
      <c r="O37">
        <v>0</v>
      </c>
      <c r="P37" s="1">
        <v>0</v>
      </c>
      <c r="Q37" s="1">
        <v>1</v>
      </c>
    </row>
    <row r="38" spans="1:17" x14ac:dyDescent="0.35">
      <c r="A38" s="9" t="s">
        <v>1</v>
      </c>
      <c r="B38" s="9" t="s">
        <v>0</v>
      </c>
      <c r="C38" s="9" t="s">
        <v>0</v>
      </c>
      <c r="D38" s="9">
        <v>40</v>
      </c>
      <c r="E38">
        <v>0</v>
      </c>
      <c r="F38">
        <f>interp(A38,B38,C38,D38)</f>
        <v>0</v>
      </c>
      <c r="G38">
        <f>IF(ABS(E38-F38)&lt; 0.000001,0,1)</f>
        <v>0</v>
      </c>
      <c r="L38" t="s">
        <v>0</v>
      </c>
      <c r="M38" t="s">
        <v>2</v>
      </c>
      <c r="N38" t="s">
        <v>2</v>
      </c>
      <c r="O38">
        <v>1</v>
      </c>
      <c r="P38" s="1">
        <v>1944.3980527740302</v>
      </c>
      <c r="Q38" s="1">
        <v>31169.364696789249</v>
      </c>
    </row>
    <row r="39" spans="1:17" x14ac:dyDescent="0.35">
      <c r="A39" s="9" t="s">
        <v>1</v>
      </c>
      <c r="B39" s="9" t="s">
        <v>0</v>
      </c>
      <c r="C39" s="9" t="s">
        <v>0</v>
      </c>
      <c r="D39" s="9">
        <v>10000</v>
      </c>
      <c r="E39">
        <v>0</v>
      </c>
      <c r="F39">
        <f>interp(A39,B39,C39,D39)</f>
        <v>0</v>
      </c>
      <c r="G39">
        <f>IF(ABS(E39-F39)&lt; 0.000001,0,1)</f>
        <v>0</v>
      </c>
      <c r="L39" t="s">
        <v>0</v>
      </c>
      <c r="M39" t="s">
        <v>2</v>
      </c>
      <c r="N39" t="s">
        <v>2</v>
      </c>
      <c r="O39">
        <v>2</v>
      </c>
      <c r="P39" s="1">
        <v>5979.9346993100335</v>
      </c>
      <c r="Q39" s="1">
        <v>39786.88693888743</v>
      </c>
    </row>
    <row r="40" spans="1:17" x14ac:dyDescent="0.35">
      <c r="A40" s="9" t="s">
        <v>1</v>
      </c>
      <c r="B40" s="9" t="s">
        <v>0</v>
      </c>
      <c r="C40" s="9" t="s">
        <v>2</v>
      </c>
      <c r="D40" s="9">
        <v>1000</v>
      </c>
      <c r="E40">
        <v>292241.80813188077</v>
      </c>
      <c r="F40">
        <f>interp(A40,B40,C40,D40)</f>
        <v>292241.808131881</v>
      </c>
      <c r="G40">
        <f>IF(ABS(E40-F40)&lt; 0.000001,0,1)</f>
        <v>0</v>
      </c>
      <c r="L40" t="s">
        <v>0</v>
      </c>
      <c r="M40" t="s">
        <v>2</v>
      </c>
      <c r="N40" t="s">
        <v>2</v>
      </c>
      <c r="O40">
        <v>3</v>
      </c>
      <c r="P40" s="1">
        <v>9976.4162195488516</v>
      </c>
      <c r="Q40" s="1">
        <v>42802.149821908024</v>
      </c>
    </row>
    <row r="41" spans="1:17" x14ac:dyDescent="0.35">
      <c r="A41" s="9" t="s">
        <v>1</v>
      </c>
      <c r="B41" s="9" t="s">
        <v>0</v>
      </c>
      <c r="C41" s="9" t="s">
        <v>2</v>
      </c>
      <c r="D41" s="9">
        <v>40</v>
      </c>
      <c r="E41">
        <v>292241.80813188077</v>
      </c>
      <c r="F41">
        <f>interp(A41,B41,C41,D41)</f>
        <v>292241.808131881</v>
      </c>
      <c r="G41">
        <f>IF(ABS(E41-F41)&lt; 0.000001,0,1)</f>
        <v>0</v>
      </c>
      <c r="L41" t="s">
        <v>1</v>
      </c>
      <c r="M41" t="s">
        <v>0</v>
      </c>
      <c r="N41" t="s">
        <v>0</v>
      </c>
      <c r="O41">
        <v>1</v>
      </c>
      <c r="P41" s="1">
        <v>50483.727912004491</v>
      </c>
      <c r="Q41" s="1">
        <v>14.645643749229539</v>
      </c>
    </row>
    <row r="42" spans="1:17" x14ac:dyDescent="0.35">
      <c r="A42" s="9" t="s">
        <v>1</v>
      </c>
      <c r="B42" s="9" t="s">
        <v>0</v>
      </c>
      <c r="C42" s="9" t="s">
        <v>2</v>
      </c>
      <c r="D42" s="9">
        <v>10000</v>
      </c>
      <c r="E42">
        <v>292241.80813188077</v>
      </c>
      <c r="F42">
        <f>interp(A42,B42,C42,D42)</f>
        <v>292241.808131881</v>
      </c>
      <c r="G42">
        <f>IF(ABS(E42-F42)&lt; 0.000001,0,1)</f>
        <v>0</v>
      </c>
      <c r="L42" t="s">
        <v>1</v>
      </c>
      <c r="M42" t="s">
        <v>0</v>
      </c>
      <c r="N42" t="s">
        <v>0</v>
      </c>
      <c r="O42">
        <v>2</v>
      </c>
      <c r="P42" s="1">
        <v>70854.229385690473</v>
      </c>
      <c r="Q42" s="1">
        <v>15.576829448940069</v>
      </c>
    </row>
    <row r="43" spans="1:17" x14ac:dyDescent="0.35">
      <c r="A43" s="9" t="s">
        <v>1</v>
      </c>
      <c r="B43" s="9" t="s">
        <v>2</v>
      </c>
      <c r="C43" s="9" t="s">
        <v>0</v>
      </c>
      <c r="D43" s="9">
        <v>1000</v>
      </c>
      <c r="E43">
        <v>671275.63408292818</v>
      </c>
      <c r="F43">
        <f>interp(A43,B43,C43,D43)</f>
        <v>671275.63408292795</v>
      </c>
      <c r="G43">
        <f>IF(ABS(E43-F43)&lt; 0.000001,0,1)</f>
        <v>0</v>
      </c>
      <c r="L43" t="s">
        <v>1</v>
      </c>
      <c r="M43" t="s">
        <v>0</v>
      </c>
      <c r="N43" t="s">
        <v>0</v>
      </c>
      <c r="O43">
        <v>3</v>
      </c>
      <c r="P43" s="1">
        <v>73692.139723088141</v>
      </c>
      <c r="Q43" s="1">
        <v>16.193903967407252</v>
      </c>
    </row>
    <row r="44" spans="1:17" x14ac:dyDescent="0.35">
      <c r="A44" s="9" t="s">
        <v>1</v>
      </c>
      <c r="B44" s="9" t="s">
        <v>2</v>
      </c>
      <c r="C44" s="9" t="s">
        <v>0</v>
      </c>
      <c r="D44" s="9">
        <v>40</v>
      </c>
      <c r="E44">
        <v>61247.33481337074</v>
      </c>
      <c r="F44">
        <f>interp(A44,B44,C44,D44)</f>
        <v>61247.33481337069</v>
      </c>
      <c r="G44">
        <f>IF(ABS(E44-F44)&lt; 0.000001,0,1)</f>
        <v>0</v>
      </c>
      <c r="L44" t="s">
        <v>1</v>
      </c>
      <c r="M44" t="s">
        <v>0</v>
      </c>
      <c r="N44" t="s">
        <v>1</v>
      </c>
      <c r="O44">
        <v>0</v>
      </c>
      <c r="P44" s="1">
        <v>0</v>
      </c>
      <c r="Q44" s="1">
        <v>1</v>
      </c>
    </row>
    <row r="45" spans="1:17" x14ac:dyDescent="0.35">
      <c r="A45" s="9" t="s">
        <v>1</v>
      </c>
      <c r="B45" s="9" t="s">
        <v>2</v>
      </c>
      <c r="C45" s="9" t="s">
        <v>0</v>
      </c>
      <c r="D45" s="9">
        <v>10000</v>
      </c>
      <c r="E45">
        <v>671275.63408292818</v>
      </c>
      <c r="F45">
        <f>interp(A45,B45,C45,D45)</f>
        <v>671275.63408292795</v>
      </c>
      <c r="G45">
        <f>IF(ABS(E45-F45)&lt; 0.000001,0,1)</f>
        <v>0</v>
      </c>
      <c r="L45" t="s">
        <v>1</v>
      </c>
      <c r="M45" t="s">
        <v>0</v>
      </c>
      <c r="N45" t="s">
        <v>1</v>
      </c>
      <c r="O45">
        <v>1</v>
      </c>
      <c r="P45" s="1">
        <v>2.4807518739444765</v>
      </c>
      <c r="Q45" s="1">
        <v>3238.7463303242307</v>
      </c>
    </row>
    <row r="46" spans="1:17" x14ac:dyDescent="0.35">
      <c r="A46" s="9" t="s">
        <v>1</v>
      </c>
      <c r="B46" s="9" t="s">
        <v>2</v>
      </c>
      <c r="C46" s="9" t="s">
        <v>2</v>
      </c>
      <c r="D46" s="9">
        <v>1000</v>
      </c>
      <c r="E46">
        <v>418.03649604351335</v>
      </c>
      <c r="F46">
        <f>interp(A46,B46,C46,D46)</f>
        <v>418.03649604351301</v>
      </c>
      <c r="G46">
        <f>IF(ABS(E46-F46)&lt; 0.000001,0,1)</f>
        <v>0</v>
      </c>
      <c r="L46" t="s">
        <v>1</v>
      </c>
      <c r="M46" t="s">
        <v>0</v>
      </c>
      <c r="N46" t="s">
        <v>1</v>
      </c>
      <c r="O46">
        <v>2</v>
      </c>
      <c r="P46" s="1">
        <v>3.5399956870465266</v>
      </c>
      <c r="Q46" s="1">
        <v>4959.4936497493691</v>
      </c>
    </row>
    <row r="47" spans="1:17" x14ac:dyDescent="0.35">
      <c r="A47" s="9" t="s">
        <v>1</v>
      </c>
      <c r="B47" s="9" t="s">
        <v>2</v>
      </c>
      <c r="C47" s="9" t="s">
        <v>2</v>
      </c>
      <c r="D47" s="9">
        <v>40</v>
      </c>
      <c r="E47">
        <v>418.03649604351335</v>
      </c>
      <c r="F47">
        <f>interp(A47,B47,C47,D47)</f>
        <v>418.03649604351301</v>
      </c>
      <c r="G47">
        <f>IF(ABS(E47-F47)&lt; 0.000001,0,1)</f>
        <v>0</v>
      </c>
      <c r="L47" t="s">
        <v>1</v>
      </c>
      <c r="M47" t="s">
        <v>0</v>
      </c>
      <c r="N47" t="s">
        <v>1</v>
      </c>
      <c r="O47">
        <v>3</v>
      </c>
      <c r="P47" s="1">
        <v>5.3186917042826574</v>
      </c>
      <c r="Q47" s="1">
        <v>12219.767854770258</v>
      </c>
    </row>
    <row r="48" spans="1:17" x14ac:dyDescent="0.35">
      <c r="A48" s="9" t="s">
        <v>1</v>
      </c>
      <c r="B48" s="9" t="s">
        <v>2</v>
      </c>
      <c r="C48" s="9" t="s">
        <v>2</v>
      </c>
      <c r="D48" s="9">
        <v>10000</v>
      </c>
      <c r="E48">
        <v>418.03649604351335</v>
      </c>
      <c r="F48">
        <f>interp(A48,B48,C48,D48)</f>
        <v>418.03649604351301</v>
      </c>
      <c r="G48">
        <f>IF(ABS(E48-F48)&lt; 0.000001,0,1)</f>
        <v>0</v>
      </c>
      <c r="L48" t="s">
        <v>1</v>
      </c>
      <c r="M48" t="s">
        <v>0</v>
      </c>
      <c r="N48" t="s">
        <v>2</v>
      </c>
      <c r="O48">
        <v>0</v>
      </c>
      <c r="P48" s="1">
        <v>0</v>
      </c>
      <c r="Q48" s="1">
        <v>1</v>
      </c>
    </row>
    <row r="49" spans="1:19" x14ac:dyDescent="0.35">
      <c r="A49" s="9" t="s">
        <v>2</v>
      </c>
      <c r="B49" s="9" t="s">
        <v>0</v>
      </c>
      <c r="C49" s="9" t="s">
        <v>0</v>
      </c>
      <c r="D49" s="9">
        <v>1000</v>
      </c>
      <c r="E49">
        <v>76072677.45279552</v>
      </c>
      <c r="F49">
        <f>interp(A49,B49,C49,D49)</f>
        <v>76072677.452795506</v>
      </c>
      <c r="G49">
        <f>IF(ABS(E49-F49)&lt; 0.000001,0,1)</f>
        <v>0</v>
      </c>
      <c r="L49" t="s">
        <v>1</v>
      </c>
      <c r="M49" t="s">
        <v>0</v>
      </c>
      <c r="N49" t="s">
        <v>2</v>
      </c>
      <c r="O49">
        <v>1</v>
      </c>
      <c r="P49" s="1">
        <v>5.2610046638076966</v>
      </c>
      <c r="Q49" s="1">
        <v>203650.33207131701</v>
      </c>
    </row>
    <row r="50" spans="1:19" x14ac:dyDescent="0.35">
      <c r="A50" s="9" t="s">
        <v>2</v>
      </c>
      <c r="B50" s="9" t="s">
        <v>0</v>
      </c>
      <c r="C50" s="9" t="s">
        <v>0</v>
      </c>
      <c r="D50" s="9">
        <v>40</v>
      </c>
      <c r="E50">
        <v>2598101.9009170337</v>
      </c>
      <c r="F50">
        <f>interp(A50,B50,C50,D50)</f>
        <v>2598101.9009170281</v>
      </c>
      <c r="G50">
        <f>IF(ABS(E50-F50)&lt; 0.000001,0,1)</f>
        <v>0</v>
      </c>
      <c r="L50" t="s">
        <v>1</v>
      </c>
      <c r="M50" t="s">
        <v>0</v>
      </c>
      <c r="N50" t="s">
        <v>2</v>
      </c>
      <c r="O50">
        <v>2</v>
      </c>
      <c r="P50" s="1">
        <v>8.5030935565335444</v>
      </c>
      <c r="Q50" s="1">
        <v>256067.63076211899</v>
      </c>
      <c r="S50" s="6"/>
    </row>
    <row r="51" spans="1:19" x14ac:dyDescent="0.35">
      <c r="A51" s="9" t="s">
        <v>2</v>
      </c>
      <c r="B51" s="9" t="s">
        <v>0</v>
      </c>
      <c r="C51" s="9" t="s">
        <v>0</v>
      </c>
      <c r="D51" s="9">
        <v>10000</v>
      </c>
      <c r="E51">
        <v>76072677.45279552</v>
      </c>
      <c r="F51">
        <f>interp(A51,B51,C51,D51)</f>
        <v>76072677.452795506</v>
      </c>
      <c r="G51">
        <f>IF(ABS(E51-F51)&lt; 0.000001,0,1)</f>
        <v>0</v>
      </c>
      <c r="L51" t="s">
        <v>1</v>
      </c>
      <c r="M51" t="s">
        <v>0</v>
      </c>
      <c r="N51" t="s">
        <v>2</v>
      </c>
      <c r="O51">
        <v>3</v>
      </c>
      <c r="P51" s="1">
        <v>14.203542751488309</v>
      </c>
      <c r="Q51" s="1">
        <v>292241.80813188077</v>
      </c>
    </row>
    <row r="52" spans="1:19" x14ac:dyDescent="0.35">
      <c r="A52" s="9" t="s">
        <v>2</v>
      </c>
      <c r="B52" s="9" t="s">
        <v>0</v>
      </c>
      <c r="C52" s="9" t="s">
        <v>2</v>
      </c>
      <c r="D52" s="9">
        <v>1000</v>
      </c>
      <c r="E52">
        <v>3.6841481358416424</v>
      </c>
      <c r="F52">
        <f>interp(A52,B52,C52,D52)</f>
        <v>3.684148135841645</v>
      </c>
      <c r="G52">
        <f>IF(ABS(E52-F52)&lt; 0.000001,0,1)</f>
        <v>0</v>
      </c>
      <c r="L52" t="s">
        <v>1</v>
      </c>
      <c r="M52" t="s">
        <v>1</v>
      </c>
      <c r="N52" t="s">
        <v>0</v>
      </c>
      <c r="O52">
        <v>0</v>
      </c>
      <c r="P52" s="1">
        <v>0</v>
      </c>
      <c r="Q52" s="1">
        <v>1</v>
      </c>
    </row>
    <row r="53" spans="1:19" x14ac:dyDescent="0.35">
      <c r="A53" s="9" t="s">
        <v>2</v>
      </c>
      <c r="B53" s="9" t="s">
        <v>0</v>
      </c>
      <c r="C53" s="9" t="s">
        <v>2</v>
      </c>
      <c r="D53" s="9">
        <v>40</v>
      </c>
      <c r="E53">
        <v>1.2642718780066471</v>
      </c>
      <c r="F53">
        <f>interp(A53,B53,C53,D53)</f>
        <v>1.2642718780066473</v>
      </c>
      <c r="G53">
        <f>IF(ABS(E53-F53)&lt; 0.000001,0,1)</f>
        <v>0</v>
      </c>
      <c r="L53" t="s">
        <v>1</v>
      </c>
      <c r="M53" t="s">
        <v>1</v>
      </c>
      <c r="N53" t="s">
        <v>0</v>
      </c>
      <c r="O53">
        <v>1</v>
      </c>
      <c r="P53" s="1">
        <v>371.39932612569993</v>
      </c>
      <c r="Q53" s="1">
        <v>46.48373439255387</v>
      </c>
    </row>
    <row r="54" spans="1:19" x14ac:dyDescent="0.35">
      <c r="A54" s="9" t="s">
        <v>2</v>
      </c>
      <c r="B54" s="9" t="s">
        <v>0</v>
      </c>
      <c r="C54" s="9" t="s">
        <v>2</v>
      </c>
      <c r="D54" s="9">
        <v>10000</v>
      </c>
      <c r="E54">
        <v>6.1781690159130553</v>
      </c>
      <c r="F54">
        <f>interp(A54,B54,C54,D54)</f>
        <v>6.1781690159130598</v>
      </c>
      <c r="G54">
        <f>IF(ABS(E54-F54)&lt; 0.000001,0,1)</f>
        <v>0</v>
      </c>
      <c r="L54" t="s">
        <v>1</v>
      </c>
      <c r="M54" t="s">
        <v>1</v>
      </c>
      <c r="N54" t="s">
        <v>0</v>
      </c>
      <c r="O54">
        <v>2</v>
      </c>
      <c r="P54" s="1">
        <v>525.19371925760788</v>
      </c>
      <c r="Q54" s="1">
        <v>56.893980910799328</v>
      </c>
    </row>
    <row r="55" spans="1:19" x14ac:dyDescent="0.35">
      <c r="A55" s="9" t="s">
        <v>2</v>
      </c>
      <c r="B55" s="9" t="s">
        <v>2</v>
      </c>
      <c r="C55" s="9" t="s">
        <v>0</v>
      </c>
      <c r="D55" s="9">
        <v>1000</v>
      </c>
      <c r="E55">
        <v>84505017.868354648</v>
      </c>
      <c r="F55">
        <f>interp(A55,B55,C55,D55)</f>
        <v>84505017.868354604</v>
      </c>
      <c r="G55">
        <f>IF(ABS(E55-F55)&lt; 0.000001,0,1)</f>
        <v>0</v>
      </c>
      <c r="L55" t="s">
        <v>1</v>
      </c>
      <c r="M55" t="s">
        <v>1</v>
      </c>
      <c r="N55" t="s">
        <v>0</v>
      </c>
      <c r="O55">
        <v>3</v>
      </c>
      <c r="P55" s="1">
        <v>621.9294586135677</v>
      </c>
      <c r="Q55" s="1">
        <v>71.268761877017184</v>
      </c>
    </row>
    <row r="56" spans="1:19" x14ac:dyDescent="0.35">
      <c r="A56" s="9" t="s">
        <v>2</v>
      </c>
      <c r="B56" s="9" t="s">
        <v>2</v>
      </c>
      <c r="C56" s="9" t="s">
        <v>0</v>
      </c>
      <c r="D56" s="9">
        <v>40</v>
      </c>
      <c r="E56">
        <v>84505017.868354648</v>
      </c>
      <c r="F56">
        <f>interp(A56,B56,C56,D56)</f>
        <v>84505017.868354604</v>
      </c>
      <c r="G56">
        <f>IF(ABS(E56-F56)&lt; 0.000001,0,1)</f>
        <v>0</v>
      </c>
      <c r="L56" t="s">
        <v>1</v>
      </c>
      <c r="M56" t="s">
        <v>1</v>
      </c>
      <c r="N56" t="s">
        <v>1</v>
      </c>
      <c r="O56">
        <v>0</v>
      </c>
      <c r="P56" s="1">
        <v>0</v>
      </c>
      <c r="Q56" s="1">
        <v>1</v>
      </c>
    </row>
    <row r="57" spans="1:19" x14ac:dyDescent="0.35">
      <c r="A57" s="9" t="s">
        <v>2</v>
      </c>
      <c r="B57" s="9" t="s">
        <v>2</v>
      </c>
      <c r="C57" s="9" t="s">
        <v>0</v>
      </c>
      <c r="D57" s="9">
        <v>10000</v>
      </c>
      <c r="E57">
        <v>84505017.868354648</v>
      </c>
      <c r="F57">
        <f>interp(A57,B57,C57,D57)</f>
        <v>84505017.868354604</v>
      </c>
      <c r="G57">
        <f>IF(ABS(E57-F57)&lt; 0.000001,0,1)</f>
        <v>0</v>
      </c>
      <c r="L57" t="s">
        <v>1</v>
      </c>
      <c r="M57" t="s">
        <v>1</v>
      </c>
      <c r="N57" t="s">
        <v>1</v>
      </c>
      <c r="O57">
        <v>1</v>
      </c>
      <c r="P57" s="1">
        <v>519.88799083871697</v>
      </c>
      <c r="Q57" s="1">
        <v>320124.77738085127</v>
      </c>
    </row>
    <row r="58" spans="1:19" x14ac:dyDescent="0.35">
      <c r="A58" s="9" t="s">
        <v>2</v>
      </c>
      <c r="B58" s="9" t="s">
        <v>2</v>
      </c>
      <c r="C58" s="9" t="s">
        <v>2</v>
      </c>
      <c r="D58" s="9">
        <v>1000</v>
      </c>
      <c r="E58">
        <v>166.19541579735588</v>
      </c>
      <c r="F58">
        <f>interp(A58,B58,C58,D58)</f>
        <v>166.19541579735633</v>
      </c>
      <c r="G58">
        <f>IF(ABS(E58-F58)&lt; 0.000001,0,1)</f>
        <v>0</v>
      </c>
      <c r="L58" t="s">
        <v>1</v>
      </c>
      <c r="M58" t="s">
        <v>1</v>
      </c>
      <c r="N58" t="s">
        <v>1</v>
      </c>
      <c r="O58">
        <v>2</v>
      </c>
      <c r="P58" s="1">
        <v>526.52405245594662</v>
      </c>
      <c r="Q58" s="1">
        <v>355372.59344571125</v>
      </c>
    </row>
    <row r="59" spans="1:19" x14ac:dyDescent="0.35">
      <c r="A59" s="9" t="s">
        <v>2</v>
      </c>
      <c r="B59" s="9" t="s">
        <v>2</v>
      </c>
      <c r="C59" s="9" t="s">
        <v>2</v>
      </c>
      <c r="D59" s="9">
        <v>40</v>
      </c>
      <c r="E59">
        <v>7.6078166318942353</v>
      </c>
      <c r="F59">
        <f>interp(A59,B59,C59,D59)</f>
        <v>7.6078166318942531</v>
      </c>
      <c r="G59">
        <f>IF(ABS(E59-F59)&lt; 0.000001,0,1)</f>
        <v>0</v>
      </c>
      <c r="L59" t="s">
        <v>1</v>
      </c>
      <c r="M59" t="s">
        <v>1</v>
      </c>
      <c r="N59" t="s">
        <v>1</v>
      </c>
      <c r="O59">
        <v>3</v>
      </c>
      <c r="P59" s="1">
        <v>618.11766001930232</v>
      </c>
      <c r="Q59" s="1">
        <v>506386.85926206462</v>
      </c>
    </row>
    <row r="60" spans="1:19" x14ac:dyDescent="0.35">
      <c r="A60" s="9" t="s">
        <v>2</v>
      </c>
      <c r="B60" s="9" t="s">
        <v>2</v>
      </c>
      <c r="C60" s="9" t="s">
        <v>2</v>
      </c>
      <c r="D60" s="9">
        <v>10000</v>
      </c>
      <c r="E60">
        <v>342.0241096241877</v>
      </c>
      <c r="F60">
        <f>interp(A60,B60,C60,D60)</f>
        <v>342.02410962418799</v>
      </c>
      <c r="G60">
        <f>IF(ABS(E60-F60)&lt; 0.000001,0,1)</f>
        <v>0</v>
      </c>
      <c r="L60" t="s">
        <v>1</v>
      </c>
      <c r="M60" t="s">
        <v>1</v>
      </c>
      <c r="N60" t="s">
        <v>2</v>
      </c>
      <c r="O60">
        <v>0</v>
      </c>
      <c r="P60" s="1">
        <v>0</v>
      </c>
      <c r="Q60" s="1">
        <v>1</v>
      </c>
    </row>
    <row r="61" spans="1:19" x14ac:dyDescent="0.35">
      <c r="A61" s="9" t="s">
        <v>0</v>
      </c>
      <c r="B61" s="9" t="s">
        <v>1</v>
      </c>
      <c r="C61" s="9" t="s">
        <v>2</v>
      </c>
      <c r="D61" s="9">
        <v>-10</v>
      </c>
      <c r="E61">
        <v>1</v>
      </c>
      <c r="F61">
        <f>interp(A61,B61,C61,D61)</f>
        <v>1</v>
      </c>
      <c r="G61">
        <f>IF(ABS(E61-F61)&lt; 0.000001,0,1)</f>
        <v>0</v>
      </c>
      <c r="L61" t="s">
        <v>1</v>
      </c>
      <c r="M61" t="s">
        <v>1</v>
      </c>
      <c r="N61" t="s">
        <v>2</v>
      </c>
      <c r="O61">
        <v>1</v>
      </c>
      <c r="P61" s="1">
        <v>1736.7797038684457</v>
      </c>
      <c r="Q61" s="1">
        <v>12.87471229305198</v>
      </c>
    </row>
    <row r="62" spans="1:19" x14ac:dyDescent="0.35">
      <c r="A62" s="9" t="s">
        <v>2</v>
      </c>
      <c r="B62" s="9" t="s">
        <v>1</v>
      </c>
      <c r="C62" s="9" t="s">
        <v>1</v>
      </c>
      <c r="D62" s="9">
        <v>-10</v>
      </c>
      <c r="E62">
        <v>1</v>
      </c>
      <c r="F62">
        <f>interp(A62,B62,C62,D62)</f>
        <v>1</v>
      </c>
      <c r="G62">
        <f>IF(ABS(E62-F62)&lt; 0.000001,0,1)</f>
        <v>0</v>
      </c>
      <c r="L62" t="s">
        <v>1</v>
      </c>
      <c r="M62" t="s">
        <v>1</v>
      </c>
      <c r="N62" t="s">
        <v>2</v>
      </c>
      <c r="O62">
        <v>2</v>
      </c>
      <c r="P62" s="1">
        <v>2347.9951809806389</v>
      </c>
      <c r="Q62" s="1">
        <v>18.315298363592774</v>
      </c>
    </row>
    <row r="63" spans="1:19" x14ac:dyDescent="0.35">
      <c r="A63" s="9" t="s">
        <v>1</v>
      </c>
      <c r="B63" s="9" t="s">
        <v>0</v>
      </c>
      <c r="C63" s="9" t="s">
        <v>2</v>
      </c>
      <c r="D63" s="9">
        <v>-40</v>
      </c>
      <c r="E63">
        <v>1</v>
      </c>
      <c r="F63">
        <f>interp(A63,B63,C63,D63)</f>
        <v>1</v>
      </c>
      <c r="G63">
        <f>IF(ABS(E63-F63)&lt; 0.000001,0,1)</f>
        <v>0</v>
      </c>
      <c r="L63" t="s">
        <v>1</v>
      </c>
      <c r="M63" t="s">
        <v>1</v>
      </c>
      <c r="N63" t="s">
        <v>2</v>
      </c>
      <c r="O63">
        <v>3</v>
      </c>
      <c r="P63" s="1">
        <v>2951.0177698249026</v>
      </c>
      <c r="Q63" s="1">
        <v>30.565287266593028</v>
      </c>
    </row>
    <row r="64" spans="1:19" x14ac:dyDescent="0.35">
      <c r="L64" t="s">
        <v>1</v>
      </c>
      <c r="M64" t="s">
        <v>2</v>
      </c>
      <c r="N64" t="s">
        <v>0</v>
      </c>
      <c r="O64">
        <v>0</v>
      </c>
      <c r="P64" s="1">
        <v>0</v>
      </c>
      <c r="Q64" s="1">
        <v>1</v>
      </c>
    </row>
    <row r="65" spans="12:17" x14ac:dyDescent="0.35">
      <c r="L65" t="s">
        <v>1</v>
      </c>
      <c r="M65" t="s">
        <v>2</v>
      </c>
      <c r="N65" t="s">
        <v>0</v>
      </c>
      <c r="O65">
        <v>1</v>
      </c>
      <c r="P65" s="1">
        <v>534.61053936190672</v>
      </c>
      <c r="Q65" s="1">
        <v>818574.40221290139</v>
      </c>
    </row>
    <row r="66" spans="12:17" x14ac:dyDescent="0.35">
      <c r="L66" t="s">
        <v>1</v>
      </c>
      <c r="M66" t="s">
        <v>2</v>
      </c>
      <c r="N66" t="s">
        <v>0</v>
      </c>
      <c r="O66">
        <v>2</v>
      </c>
      <c r="P66" s="1">
        <v>535.83743552267015</v>
      </c>
      <c r="Q66" s="1">
        <v>473429.77754060243</v>
      </c>
    </row>
    <row r="67" spans="12:17" x14ac:dyDescent="0.35">
      <c r="L67" t="s">
        <v>1</v>
      </c>
      <c r="M67" t="s">
        <v>2</v>
      </c>
      <c r="N67" t="s">
        <v>0</v>
      </c>
      <c r="O67">
        <v>3</v>
      </c>
      <c r="P67" s="1">
        <v>740.44056101033595</v>
      </c>
      <c r="Q67" s="1">
        <v>671275.63408292818</v>
      </c>
    </row>
    <row r="68" spans="12:17" x14ac:dyDescent="0.35">
      <c r="L68" t="s">
        <v>1</v>
      </c>
      <c r="M68" t="s">
        <v>2</v>
      </c>
      <c r="N68" t="s">
        <v>1</v>
      </c>
      <c r="O68">
        <v>0</v>
      </c>
      <c r="P68" s="1">
        <v>0</v>
      </c>
      <c r="Q68" s="1">
        <v>1</v>
      </c>
    </row>
    <row r="69" spans="12:17" x14ac:dyDescent="0.35">
      <c r="L69" t="s">
        <v>1</v>
      </c>
      <c r="M69" t="s">
        <v>2</v>
      </c>
      <c r="N69" t="s">
        <v>1</v>
      </c>
      <c r="O69">
        <v>1</v>
      </c>
      <c r="P69" s="1">
        <v>873.90333670947098</v>
      </c>
      <c r="Q69" s="1">
        <v>5.5308464608446828</v>
      </c>
    </row>
    <row r="70" spans="12:17" x14ac:dyDescent="0.35">
      <c r="L70" t="s">
        <v>1</v>
      </c>
      <c r="M70" t="s">
        <v>2</v>
      </c>
      <c r="N70" t="s">
        <v>1</v>
      </c>
      <c r="O70">
        <v>2</v>
      </c>
      <c r="P70" s="1">
        <v>1640.7421997836814</v>
      </c>
      <c r="Q70" s="1">
        <v>3.7891915013635131</v>
      </c>
    </row>
    <row r="71" spans="12:17" x14ac:dyDescent="0.35">
      <c r="L71" t="s">
        <v>1</v>
      </c>
      <c r="M71" t="s">
        <v>2</v>
      </c>
      <c r="N71" t="s">
        <v>1</v>
      </c>
      <c r="O71">
        <v>3</v>
      </c>
      <c r="P71" s="1">
        <v>2167.1256906430149</v>
      </c>
      <c r="Q71" s="1">
        <v>5.2369261422376665</v>
      </c>
    </row>
    <row r="72" spans="12:17" x14ac:dyDescent="0.35">
      <c r="L72" t="s">
        <v>1</v>
      </c>
      <c r="M72" t="s">
        <v>2</v>
      </c>
      <c r="N72" t="s">
        <v>2</v>
      </c>
      <c r="O72">
        <v>0</v>
      </c>
      <c r="P72" s="1">
        <v>0</v>
      </c>
      <c r="Q72" s="1">
        <v>1</v>
      </c>
    </row>
    <row r="73" spans="12:17" x14ac:dyDescent="0.35">
      <c r="L73" t="s">
        <v>1</v>
      </c>
      <c r="M73" t="s">
        <v>2</v>
      </c>
      <c r="N73" t="s">
        <v>2</v>
      </c>
      <c r="O73">
        <v>1</v>
      </c>
      <c r="P73" s="1">
        <v>4.5893843322318366</v>
      </c>
      <c r="Q73" s="1">
        <v>271.32608217273702</v>
      </c>
    </row>
    <row r="74" spans="12:17" x14ac:dyDescent="0.35">
      <c r="L74" t="s">
        <v>1</v>
      </c>
      <c r="M74" t="s">
        <v>2</v>
      </c>
      <c r="N74" t="s">
        <v>2</v>
      </c>
      <c r="O74">
        <v>2</v>
      </c>
      <c r="P74" s="1">
        <v>6.917525477163986</v>
      </c>
      <c r="Q74" s="1">
        <v>378.73130130993701</v>
      </c>
    </row>
    <row r="75" spans="12:17" x14ac:dyDescent="0.35">
      <c r="L75" t="s">
        <v>1</v>
      </c>
      <c r="M75" t="s">
        <v>2</v>
      </c>
      <c r="N75" t="s">
        <v>2</v>
      </c>
      <c r="O75">
        <v>3</v>
      </c>
      <c r="P75" s="1">
        <v>8.2619091128049185</v>
      </c>
      <c r="Q75" s="1">
        <v>418.03649604351335</v>
      </c>
    </row>
    <row r="76" spans="12:17" x14ac:dyDescent="0.35">
      <c r="L76" t="s">
        <v>2</v>
      </c>
      <c r="M76" t="s">
        <v>0</v>
      </c>
      <c r="N76" t="s">
        <v>0</v>
      </c>
      <c r="O76">
        <v>0</v>
      </c>
      <c r="P76" s="1">
        <v>0</v>
      </c>
      <c r="Q76" s="1">
        <v>1</v>
      </c>
    </row>
    <row r="77" spans="12:17" x14ac:dyDescent="0.35">
      <c r="L77" t="s">
        <v>2</v>
      </c>
      <c r="M77" t="s">
        <v>0</v>
      </c>
      <c r="N77" t="s">
        <v>0</v>
      </c>
      <c r="O77">
        <v>1</v>
      </c>
      <c r="P77" s="1">
        <v>169.76245902684471</v>
      </c>
      <c r="Q77" s="1">
        <v>11026500.943488406</v>
      </c>
    </row>
    <row r="78" spans="12:17" x14ac:dyDescent="0.35">
      <c r="L78" t="s">
        <v>2</v>
      </c>
      <c r="M78" t="s">
        <v>0</v>
      </c>
      <c r="N78" t="s">
        <v>0</v>
      </c>
      <c r="O78">
        <v>2</v>
      </c>
      <c r="P78" s="1">
        <v>260.35087688671661</v>
      </c>
      <c r="Q78" s="1">
        <v>26327365.012117598</v>
      </c>
    </row>
    <row r="79" spans="12:17" x14ac:dyDescent="0.35">
      <c r="L79" t="s">
        <v>2</v>
      </c>
      <c r="M79" t="s">
        <v>0</v>
      </c>
      <c r="N79" t="s">
        <v>0</v>
      </c>
      <c r="O79">
        <v>3</v>
      </c>
      <c r="P79" s="1">
        <v>329.02527865688</v>
      </c>
      <c r="Q79" s="1">
        <v>76072677.45279552</v>
      </c>
    </row>
    <row r="80" spans="12:17" x14ac:dyDescent="0.35">
      <c r="L80" t="s">
        <v>2</v>
      </c>
      <c r="M80" t="s">
        <v>0</v>
      </c>
      <c r="N80" t="s">
        <v>1</v>
      </c>
      <c r="O80">
        <v>0</v>
      </c>
      <c r="P80" s="1">
        <v>0</v>
      </c>
      <c r="Q80" s="1">
        <v>1</v>
      </c>
    </row>
    <row r="81" spans="12:17" x14ac:dyDescent="0.35">
      <c r="L81" t="s">
        <v>2</v>
      </c>
      <c r="M81" t="s">
        <v>0</v>
      </c>
      <c r="N81" t="s">
        <v>1</v>
      </c>
      <c r="O81">
        <v>1</v>
      </c>
      <c r="P81" s="1">
        <v>45281.487312221827</v>
      </c>
      <c r="Q81" s="1">
        <v>22988818.230815407</v>
      </c>
    </row>
    <row r="82" spans="12:17" x14ac:dyDescent="0.35">
      <c r="L82" t="s">
        <v>2</v>
      </c>
      <c r="M82" t="s">
        <v>0</v>
      </c>
      <c r="N82" t="s">
        <v>1</v>
      </c>
      <c r="O82">
        <v>2</v>
      </c>
      <c r="P82" s="1">
        <v>64311.555948999267</v>
      </c>
      <c r="Q82" s="1">
        <v>36179080.498874679</v>
      </c>
    </row>
    <row r="83" spans="12:17" x14ac:dyDescent="0.35">
      <c r="L83" t="s">
        <v>2</v>
      </c>
      <c r="M83" t="s">
        <v>0</v>
      </c>
      <c r="N83" t="s">
        <v>1</v>
      </c>
      <c r="O83">
        <v>3</v>
      </c>
      <c r="P83" s="1">
        <v>77218.254144733932</v>
      </c>
      <c r="Q83" s="1">
        <v>41616148.875773117</v>
      </c>
    </row>
    <row r="84" spans="12:17" x14ac:dyDescent="0.35">
      <c r="L84" t="s">
        <v>2</v>
      </c>
      <c r="M84" t="s">
        <v>0</v>
      </c>
      <c r="N84" t="s">
        <v>2</v>
      </c>
      <c r="O84">
        <v>0</v>
      </c>
      <c r="P84" s="1">
        <v>0</v>
      </c>
      <c r="Q84" s="1">
        <v>1</v>
      </c>
    </row>
    <row r="85" spans="12:17" x14ac:dyDescent="0.35">
      <c r="L85" t="s">
        <v>2</v>
      </c>
      <c r="M85" t="s">
        <v>0</v>
      </c>
      <c r="N85" t="s">
        <v>2</v>
      </c>
      <c r="O85">
        <v>1</v>
      </c>
      <c r="P85" s="1">
        <v>357.56914715059258</v>
      </c>
      <c r="Q85" s="1">
        <v>3.3623867508680561</v>
      </c>
    </row>
    <row r="86" spans="12:17" x14ac:dyDescent="0.35">
      <c r="L86" t="s">
        <v>2</v>
      </c>
      <c r="M86" t="s">
        <v>0</v>
      </c>
      <c r="N86" t="s">
        <v>2</v>
      </c>
      <c r="O86">
        <v>2</v>
      </c>
      <c r="P86" s="1">
        <v>4290.0529519584898</v>
      </c>
      <c r="Q86" s="1">
        <v>5.3319706053934741</v>
      </c>
    </row>
    <row r="87" spans="12:17" x14ac:dyDescent="0.35">
      <c r="L87" t="s">
        <v>2</v>
      </c>
      <c r="M87" t="s">
        <v>0</v>
      </c>
      <c r="N87" t="s">
        <v>2</v>
      </c>
      <c r="O87">
        <v>3</v>
      </c>
      <c r="P87" s="1">
        <v>9240.1940859427687</v>
      </c>
      <c r="Q87" s="1">
        <v>6.1781690159130553</v>
      </c>
    </row>
    <row r="88" spans="12:17" x14ac:dyDescent="0.35">
      <c r="L88" t="s">
        <v>2</v>
      </c>
      <c r="M88" t="s">
        <v>1</v>
      </c>
      <c r="N88" t="s">
        <v>0</v>
      </c>
      <c r="O88">
        <v>0</v>
      </c>
      <c r="P88" s="1">
        <v>0</v>
      </c>
      <c r="Q88" s="1">
        <v>1</v>
      </c>
    </row>
    <row r="89" spans="12:17" x14ac:dyDescent="0.35">
      <c r="L89" t="s">
        <v>2</v>
      </c>
      <c r="M89" t="s">
        <v>1</v>
      </c>
      <c r="N89" t="s">
        <v>0</v>
      </c>
      <c r="O89">
        <v>1</v>
      </c>
      <c r="P89" s="1">
        <v>4</v>
      </c>
      <c r="Q89" s="1">
        <v>57787.59890564072</v>
      </c>
    </row>
    <row r="90" spans="12:17" x14ac:dyDescent="0.35">
      <c r="L90" t="s">
        <v>2</v>
      </c>
      <c r="M90" t="s">
        <v>1</v>
      </c>
      <c r="N90" t="s">
        <v>0</v>
      </c>
      <c r="O90">
        <v>2</v>
      </c>
      <c r="P90" s="1">
        <v>6.2730518734120064</v>
      </c>
      <c r="Q90" s="1">
        <v>68318.461285329176</v>
      </c>
    </row>
    <row r="91" spans="12:17" x14ac:dyDescent="0.35">
      <c r="L91" t="s">
        <v>2</v>
      </c>
      <c r="M91" t="s">
        <v>1</v>
      </c>
      <c r="N91" t="s">
        <v>0</v>
      </c>
      <c r="O91">
        <v>3</v>
      </c>
      <c r="P91" s="1">
        <v>8.3739497243440049</v>
      </c>
      <c r="Q91" s="1">
        <v>124006.96649103881</v>
      </c>
    </row>
    <row r="92" spans="12:17" x14ac:dyDescent="0.35">
      <c r="L92" t="s">
        <v>2</v>
      </c>
      <c r="M92" t="s">
        <v>1</v>
      </c>
      <c r="N92" t="s">
        <v>1</v>
      </c>
      <c r="O92">
        <v>0</v>
      </c>
      <c r="P92" s="1">
        <v>0</v>
      </c>
      <c r="Q92" s="1">
        <v>1</v>
      </c>
    </row>
    <row r="93" spans="12:17" x14ac:dyDescent="0.35">
      <c r="L93" t="s">
        <v>2</v>
      </c>
      <c r="M93" t="s">
        <v>1</v>
      </c>
      <c r="N93" t="s">
        <v>1</v>
      </c>
      <c r="O93">
        <v>1</v>
      </c>
      <c r="P93" s="1">
        <v>4.0790346851490904</v>
      </c>
      <c r="Q93" s="1">
        <v>487.45835834889658</v>
      </c>
    </row>
    <row r="94" spans="12:17" x14ac:dyDescent="0.35">
      <c r="L94" t="s">
        <v>2</v>
      </c>
      <c r="M94" t="s">
        <v>1</v>
      </c>
      <c r="N94" t="s">
        <v>1</v>
      </c>
      <c r="O94">
        <v>2</v>
      </c>
      <c r="P94" s="1">
        <v>7.1174884139282417</v>
      </c>
      <c r="Q94" s="1">
        <v>324.55491919161261</v>
      </c>
    </row>
    <row r="95" spans="12:17" x14ac:dyDescent="0.35">
      <c r="L95" t="s">
        <v>2</v>
      </c>
      <c r="M95" t="s">
        <v>1</v>
      </c>
      <c r="N95" t="s">
        <v>1</v>
      </c>
      <c r="O95">
        <v>3</v>
      </c>
      <c r="P95" s="1">
        <v>8.1858124681884572</v>
      </c>
      <c r="Q95" s="1">
        <v>462.94208062296951</v>
      </c>
    </row>
    <row r="96" spans="12:17" x14ac:dyDescent="0.35">
      <c r="L96" t="s">
        <v>2</v>
      </c>
      <c r="M96" t="s">
        <v>1</v>
      </c>
      <c r="N96" t="s">
        <v>2</v>
      </c>
      <c r="O96">
        <v>0</v>
      </c>
      <c r="P96" s="1">
        <v>0</v>
      </c>
      <c r="Q96" s="1">
        <v>1</v>
      </c>
    </row>
    <row r="97" spans="12:17" x14ac:dyDescent="0.35">
      <c r="L97" t="s">
        <v>2</v>
      </c>
      <c r="M97" t="s">
        <v>1</v>
      </c>
      <c r="N97" t="s">
        <v>2</v>
      </c>
      <c r="O97">
        <v>1</v>
      </c>
      <c r="P97" s="1">
        <v>11.919228224531595</v>
      </c>
      <c r="Q97" s="1">
        <v>51.552067368712819</v>
      </c>
    </row>
    <row r="98" spans="12:17" x14ac:dyDescent="0.35">
      <c r="L98" t="s">
        <v>2</v>
      </c>
      <c r="M98" t="s">
        <v>1</v>
      </c>
      <c r="N98" t="s">
        <v>2</v>
      </c>
      <c r="O98">
        <v>2</v>
      </c>
      <c r="P98" s="1">
        <v>61.639136806336744</v>
      </c>
      <c r="Q98" s="1">
        <v>32.79178065103477</v>
      </c>
    </row>
    <row r="99" spans="12:17" x14ac:dyDescent="0.35">
      <c r="L99" t="s">
        <v>2</v>
      </c>
      <c r="M99" t="s">
        <v>1</v>
      </c>
      <c r="N99" t="s">
        <v>2</v>
      </c>
      <c r="O99">
        <v>3</v>
      </c>
      <c r="P99" s="1">
        <v>106.06842050306169</v>
      </c>
      <c r="Q99" s="1">
        <v>44.226401038674453</v>
      </c>
    </row>
    <row r="100" spans="12:17" x14ac:dyDescent="0.35">
      <c r="L100" t="s">
        <v>2</v>
      </c>
      <c r="M100" t="s">
        <v>2</v>
      </c>
      <c r="N100" t="s">
        <v>0</v>
      </c>
      <c r="O100">
        <v>0</v>
      </c>
      <c r="P100" s="1">
        <v>0</v>
      </c>
      <c r="Q100" s="1">
        <v>1</v>
      </c>
    </row>
    <row r="101" spans="12:17" x14ac:dyDescent="0.35">
      <c r="L101" t="s">
        <v>2</v>
      </c>
      <c r="M101" t="s">
        <v>2</v>
      </c>
      <c r="N101" t="s">
        <v>0</v>
      </c>
      <c r="O101">
        <v>1</v>
      </c>
      <c r="P101" s="1">
        <v>1.4749847974150934</v>
      </c>
      <c r="Q101" s="1">
        <v>52266617.048029259</v>
      </c>
    </row>
    <row r="102" spans="12:17" x14ac:dyDescent="0.35">
      <c r="L102" t="s">
        <v>2</v>
      </c>
      <c r="M102" t="s">
        <v>2</v>
      </c>
      <c r="N102" t="s">
        <v>0</v>
      </c>
      <c r="O102">
        <v>2</v>
      </c>
      <c r="P102" s="1">
        <v>2.7870405957017863</v>
      </c>
      <c r="Q102" s="1">
        <v>67229039.851606011</v>
      </c>
    </row>
    <row r="103" spans="12:17" x14ac:dyDescent="0.35">
      <c r="L103" t="s">
        <v>2</v>
      </c>
      <c r="M103" t="s">
        <v>2</v>
      </c>
      <c r="N103" t="s">
        <v>0</v>
      </c>
      <c r="O103">
        <v>3</v>
      </c>
      <c r="P103" s="1">
        <v>4.760842733190545</v>
      </c>
      <c r="Q103" s="1">
        <v>84505017.868354648</v>
      </c>
    </row>
    <row r="104" spans="12:17" x14ac:dyDescent="0.35">
      <c r="L104" t="s">
        <v>2</v>
      </c>
      <c r="M104" t="s">
        <v>2</v>
      </c>
      <c r="N104" t="s">
        <v>1</v>
      </c>
      <c r="O104">
        <v>0</v>
      </c>
      <c r="P104" s="1">
        <v>0</v>
      </c>
      <c r="Q104" s="1">
        <v>1</v>
      </c>
    </row>
    <row r="105" spans="12:17" x14ac:dyDescent="0.35">
      <c r="L105" t="s">
        <v>2</v>
      </c>
      <c r="M105" t="s">
        <v>2</v>
      </c>
      <c r="N105" t="s">
        <v>1</v>
      </c>
      <c r="O105">
        <v>1</v>
      </c>
      <c r="P105" s="1">
        <v>4.049184828269901</v>
      </c>
      <c r="Q105" s="1">
        <v>452073673.79274911</v>
      </c>
    </row>
    <row r="106" spans="12:17" x14ac:dyDescent="0.35">
      <c r="L106" t="s">
        <v>2</v>
      </c>
      <c r="M106" t="s">
        <v>2</v>
      </c>
      <c r="N106" t="s">
        <v>1</v>
      </c>
      <c r="O106">
        <v>2</v>
      </c>
      <c r="P106" s="1">
        <v>6.0945909160417031</v>
      </c>
      <c r="Q106" s="1">
        <v>470325176.57976329</v>
      </c>
    </row>
    <row r="107" spans="12:17" x14ac:dyDescent="0.35">
      <c r="L107" t="s">
        <v>2</v>
      </c>
      <c r="M107" t="s">
        <v>2</v>
      </c>
      <c r="N107" t="s">
        <v>1</v>
      </c>
      <c r="O107">
        <v>3</v>
      </c>
      <c r="P107" s="1">
        <v>9</v>
      </c>
      <c r="Q107" s="1">
        <v>508133821.4006716</v>
      </c>
    </row>
    <row r="108" spans="12:17" x14ac:dyDescent="0.35">
      <c r="L108" t="s">
        <v>2</v>
      </c>
      <c r="M108" t="s">
        <v>2</v>
      </c>
      <c r="N108" t="s">
        <v>2</v>
      </c>
      <c r="O108">
        <v>0</v>
      </c>
      <c r="P108" s="1">
        <v>0</v>
      </c>
      <c r="Q108" s="1">
        <v>1</v>
      </c>
    </row>
    <row r="109" spans="12:17" x14ac:dyDescent="0.35">
      <c r="L109" t="s">
        <v>2</v>
      </c>
      <c r="M109" t="s">
        <v>2</v>
      </c>
      <c r="N109" t="s">
        <v>2</v>
      </c>
      <c r="O109">
        <v>1</v>
      </c>
      <c r="P109" s="1">
        <v>1757.0229844103737</v>
      </c>
      <c r="Q109" s="1">
        <v>291.25214247518284</v>
      </c>
    </row>
    <row r="110" spans="12:17" x14ac:dyDescent="0.35">
      <c r="L110" t="s">
        <v>2</v>
      </c>
      <c r="M110" t="s">
        <v>2</v>
      </c>
      <c r="N110" t="s">
        <v>2</v>
      </c>
      <c r="O110">
        <v>2</v>
      </c>
      <c r="P110" s="1">
        <v>2466.7467772957793</v>
      </c>
      <c r="Q110" s="1">
        <v>339.64087400512534</v>
      </c>
    </row>
    <row r="111" spans="12:17" x14ac:dyDescent="0.35">
      <c r="L111" t="s">
        <v>2</v>
      </c>
      <c r="M111" t="s">
        <v>2</v>
      </c>
      <c r="N111" t="s">
        <v>2</v>
      </c>
      <c r="O111">
        <v>3</v>
      </c>
      <c r="P111" s="1">
        <v>4688.6956993980075</v>
      </c>
      <c r="Q111" s="1">
        <v>342.0241096241877</v>
      </c>
    </row>
  </sheetData>
  <mergeCells count="1">
    <mergeCell ref="A23:D23"/>
  </mergeCells>
  <pageMargins left="0.7" right="0.7" top="0.75" bottom="0.75" header="0.3" footer="0.3"/>
  <pageSetup orientation="portrait" r:id="rId1"/>
  <drawing r:id="rId2"/>
  <tableParts count="1">
    <tablePart r:id="rId3"/>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19</vt:i4>
      </vt:variant>
      <vt:variant>
        <vt:lpstr>Named Ranges</vt:lpstr>
      </vt:variant>
      <vt:variant>
        <vt:i4>118</vt:i4>
      </vt:variant>
    </vt:vector>
  </HeadingPairs>
  <TitlesOfParts>
    <vt:vector size="137" baseType="lpstr">
      <vt:lpstr>Text</vt:lpstr>
      <vt:lpstr>singleCriteriaInexact</vt:lpstr>
      <vt:lpstr>singleCriteriaInexactSafe</vt:lpstr>
      <vt:lpstr>singleCriteriaExact</vt:lpstr>
      <vt:lpstr>singleCriteriaExactSafe</vt:lpstr>
      <vt:lpstr>MultipleSingleLookups</vt:lpstr>
      <vt:lpstr>multipleMatchLegacy</vt:lpstr>
      <vt:lpstr>multipleMatchNew</vt:lpstr>
      <vt:lpstr>ascendingInexactLookup</vt:lpstr>
      <vt:lpstr>numericInexactLookupSafer</vt:lpstr>
      <vt:lpstr>mySumPrd</vt:lpstr>
      <vt:lpstr>indexMatch2</vt:lpstr>
      <vt:lpstr>MultipleMatchReturnNumeric</vt:lpstr>
      <vt:lpstr>myLookup4</vt:lpstr>
      <vt:lpstr>squishedLookup</vt:lpstr>
      <vt:lpstr>MultipleMatchInexactNumeric</vt:lpstr>
      <vt:lpstr>MultipleMatchInexactNumeric2</vt:lpstr>
      <vt:lpstr>MultipleMatchInexactNumericSafe</vt:lpstr>
      <vt:lpstr>interp</vt:lpstr>
      <vt:lpstr>squishedLookup!Input_concatIn</vt:lpstr>
      <vt:lpstr>singleCriteriaExact!Input_criteria</vt:lpstr>
      <vt:lpstr>singleCriteriaExactSafe!Input_criteria</vt:lpstr>
      <vt:lpstr>singleCriteriaInexact!Input_criteria</vt:lpstr>
      <vt:lpstr>singleCriteriaInexactSafe!Input_criteria</vt:lpstr>
      <vt:lpstr>multipleMatchLegacy!Input_criteria1</vt:lpstr>
      <vt:lpstr>multipleMatchNew!Input_criteria1</vt:lpstr>
      <vt:lpstr>MultipleSingleLookups!Input_criteria1</vt:lpstr>
      <vt:lpstr>multipleMatchLegacy!Input_criteria2</vt:lpstr>
      <vt:lpstr>multipleMatchNew!Input_criteria2</vt:lpstr>
      <vt:lpstr>MultipleSingleLookups!Input_criteria2</vt:lpstr>
      <vt:lpstr>multipleMatchLegacy!Input_criteria3</vt:lpstr>
      <vt:lpstr>multipleMatchNew!Input_criteria3</vt:lpstr>
      <vt:lpstr>MultipleSingleLookups!Input_criteria3</vt:lpstr>
      <vt:lpstr>indexMatch2!Input_in1</vt:lpstr>
      <vt:lpstr>mySumPrd!Input_in1</vt:lpstr>
      <vt:lpstr>myLookup4!Input_in1_field1</vt:lpstr>
      <vt:lpstr>myLookup4!Input_in2_field2</vt:lpstr>
      <vt:lpstr>myLookup4!Input_in3_field3</vt:lpstr>
      <vt:lpstr>myLookup4!Input_in4_order</vt:lpstr>
      <vt:lpstr>interp!Input_inLookup</vt:lpstr>
      <vt:lpstr>MultipleMatchInexactNumeric!Input_inLookup</vt:lpstr>
      <vt:lpstr>MultipleMatchInexactNumeric2!Input_inLookup</vt:lpstr>
      <vt:lpstr>MultipleMatchInexactNumericSafe!Input_inLookup</vt:lpstr>
      <vt:lpstr>interp!Input_input1</vt:lpstr>
      <vt:lpstr>MultipleMatchInexactNumeric!Input_input1</vt:lpstr>
      <vt:lpstr>MultipleMatchInexactNumeric2!Input_input1</vt:lpstr>
      <vt:lpstr>MultipleMatchInexactNumericSafe!Input_input1</vt:lpstr>
      <vt:lpstr>MultipleMatchReturnNumeric!Input_input1</vt:lpstr>
      <vt:lpstr>interp!Input_input2</vt:lpstr>
      <vt:lpstr>MultipleMatchInexactNumeric!Input_input2</vt:lpstr>
      <vt:lpstr>MultipleMatchInexactNumeric2!Input_input2</vt:lpstr>
      <vt:lpstr>MultipleMatchInexactNumericSafe!Input_input2</vt:lpstr>
      <vt:lpstr>MultipleMatchReturnNumeric!Input_input2</vt:lpstr>
      <vt:lpstr>interp!Input_input3</vt:lpstr>
      <vt:lpstr>MultipleMatchInexactNumeric!Input_input3</vt:lpstr>
      <vt:lpstr>MultipleMatchInexactNumeric2!Input_input3</vt:lpstr>
      <vt:lpstr>MultipleMatchInexactNumericSafe!Input_input3</vt:lpstr>
      <vt:lpstr>MultipleMatchReturnNumeric!Input_input3</vt:lpstr>
      <vt:lpstr>ascendingInexactLookup!Input_lookup</vt:lpstr>
      <vt:lpstr>numericInexactLookupSafer!Input_lookup</vt:lpstr>
      <vt:lpstr>ascendingInexactLookup!Inputs</vt:lpstr>
      <vt:lpstr>indexMatch2!Inputs</vt:lpstr>
      <vt:lpstr>interp!Inputs</vt:lpstr>
      <vt:lpstr>MultipleMatchInexactNumeric!Inputs</vt:lpstr>
      <vt:lpstr>MultipleMatchInexactNumeric2!Inputs</vt:lpstr>
      <vt:lpstr>MultipleMatchInexactNumericSafe!Inputs</vt:lpstr>
      <vt:lpstr>multipleMatchLegacy!Inputs</vt:lpstr>
      <vt:lpstr>multipleMatchNew!Inputs</vt:lpstr>
      <vt:lpstr>MultipleMatchReturnNumeric!Inputs</vt:lpstr>
      <vt:lpstr>MultipleSingleLookups!Inputs</vt:lpstr>
      <vt:lpstr>myLookup4!Inputs</vt:lpstr>
      <vt:lpstr>mySumPrd!Inputs</vt:lpstr>
      <vt:lpstr>numericInexactLookupSafer!Inputs</vt:lpstr>
      <vt:lpstr>singleCriteriaExact!Inputs</vt:lpstr>
      <vt:lpstr>singleCriteriaExactSafe!Inputs</vt:lpstr>
      <vt:lpstr>singleCriteriaInexact!Inputs</vt:lpstr>
      <vt:lpstr>singleCriteriaInexactSafe!Inputs</vt:lpstr>
      <vt:lpstr>squishedLookup!Inputs</vt:lpstr>
      <vt:lpstr>ascendingInexactLookup!Output_ascendingInexactLookup</vt:lpstr>
      <vt:lpstr>indexMatch2!Output_indexMatch2</vt:lpstr>
      <vt:lpstr>interp!Output_interp</vt:lpstr>
      <vt:lpstr>multipleMatchLegacy!Output_multipleLegacy</vt:lpstr>
      <vt:lpstr>multipleMatchNew!Output_multipleLegacy</vt:lpstr>
      <vt:lpstr>MultipleMatchReturnNumeric!Output_MultipleMarchReturnNumeric</vt:lpstr>
      <vt:lpstr>MultipleMatchInexactNumeric!Output_MultipleMatchInexactNumeric</vt:lpstr>
      <vt:lpstr>MultipleMatchInexactNumeric2!Output_MultipleMatchInexactNumeric2</vt:lpstr>
      <vt:lpstr>MultipleMatchInexactNumericSafe!Output_MultipleMatchInexactNumericSafe</vt:lpstr>
      <vt:lpstr>multipleMatchLegacy!Output_multipleMatchLegacy</vt:lpstr>
      <vt:lpstr>multipleMatchNew!Output_multipleMatchNew</vt:lpstr>
      <vt:lpstr>MultipleMatchReturnNumeric!Output_MultipleMatchReturnNumeric</vt:lpstr>
      <vt:lpstr>MultipleSingleLookups!Output_MultipleSingleLookups</vt:lpstr>
      <vt:lpstr>myLookup4!Output_myLookup4</vt:lpstr>
      <vt:lpstr>mySumPrd!Output_mySumPrd</vt:lpstr>
      <vt:lpstr>numericInexactLookupSafer!Output_numericInexactLookupSafer</vt:lpstr>
      <vt:lpstr>MultipleMatchInexactNumeric2!Output_Output1</vt:lpstr>
      <vt:lpstr>singleCriteriaExact!Output_singleCriteriaExact</vt:lpstr>
      <vt:lpstr>singleCriteriaExactSafe!Output_singleCriteriaExact</vt:lpstr>
      <vt:lpstr>singleCriteriaExactSafe!Output_singleCriteriaExactSafe</vt:lpstr>
      <vt:lpstr>singleCriteriaInexact!Output_singleCriteriaInexact</vt:lpstr>
      <vt:lpstr>singleCriteriaInexactSafe!Output_singleCriteriaInexactSafe</vt:lpstr>
      <vt:lpstr>squishedLookup!Output_squishedLookup</vt:lpstr>
      <vt:lpstr>ascendingInexactLookup!Outputs</vt:lpstr>
      <vt:lpstr>indexMatch2!Outputs</vt:lpstr>
      <vt:lpstr>interp!Outputs</vt:lpstr>
      <vt:lpstr>MultipleMatchInexactNumeric!Outputs</vt:lpstr>
      <vt:lpstr>MultipleMatchInexactNumeric2!Outputs</vt:lpstr>
      <vt:lpstr>MultipleMatchInexactNumericSafe!Outputs</vt:lpstr>
      <vt:lpstr>multipleMatchLegacy!Outputs</vt:lpstr>
      <vt:lpstr>multipleMatchNew!Outputs</vt:lpstr>
      <vt:lpstr>MultipleMatchReturnNumeric!Outputs</vt:lpstr>
      <vt:lpstr>MultipleSingleLookups!Outputs</vt:lpstr>
      <vt:lpstr>myLookup4!Outputs</vt:lpstr>
      <vt:lpstr>mySumPrd!Outputs</vt:lpstr>
      <vt:lpstr>numericInexactLookupSafer!Outputs</vt:lpstr>
      <vt:lpstr>singleCriteriaExact!Outputs</vt:lpstr>
      <vt:lpstr>singleCriteriaExactSafe!Outputs</vt:lpstr>
      <vt:lpstr>singleCriteriaInexact!Outputs</vt:lpstr>
      <vt:lpstr>singleCriteriaInexactSafe!Outputs</vt:lpstr>
      <vt:lpstr>squishedLookup!Outputs</vt:lpstr>
      <vt:lpstr>ascendingInexactLookup!TestCases</vt:lpstr>
      <vt:lpstr>indexMatch2!TestCases</vt:lpstr>
      <vt:lpstr>interp!TestCases</vt:lpstr>
      <vt:lpstr>MultipleMatchInexactNumeric!TestCases</vt:lpstr>
      <vt:lpstr>MultipleMatchInexactNumeric2!TestCases</vt:lpstr>
      <vt:lpstr>MultipleMatchInexactNumericSafe!TestCases</vt:lpstr>
      <vt:lpstr>multipleMatchLegacy!TestCases</vt:lpstr>
      <vt:lpstr>multipleMatchNew!TestCases</vt:lpstr>
      <vt:lpstr>MultipleMatchReturnNumeric!TestCases</vt:lpstr>
      <vt:lpstr>MultipleSingleLookups!TestCases</vt:lpstr>
      <vt:lpstr>myLookup4!TestCases</vt:lpstr>
      <vt:lpstr>mySumPrd!TestCases</vt:lpstr>
      <vt:lpstr>numericInexactLookupSafer!TestCases</vt:lpstr>
      <vt:lpstr>singleCriteriaExact!TestCases</vt:lpstr>
      <vt:lpstr>singleCriteriaExactSafe!TestCases</vt:lpstr>
      <vt:lpstr>singleCriteriaInexact!TestCases</vt:lpstr>
      <vt:lpstr>singleCriteriaInexactSafe!TestCases</vt:lpstr>
      <vt:lpstr>squishedLookup!TestCases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Matthew F</dc:creator>
  <cp:lastModifiedBy>Matthew F</cp:lastModifiedBy>
  <dcterms:created xsi:type="dcterms:W3CDTF">2022-03-01T05:10:58Z</dcterms:created>
  <dcterms:modified xsi:type="dcterms:W3CDTF">2023-11-06T05:45:46Z</dcterms:modified>
</cp:coreProperties>
</file>