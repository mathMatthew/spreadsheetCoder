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tth\SpreadsheetCoder\"/>
    </mc:Choice>
  </mc:AlternateContent>
  <xr:revisionPtr revIDLastSave="0" documentId="8_{2412D9D1-8D5C-465A-883C-531C5CCB54C9}" xr6:coauthVersionLast="47" xr6:coauthVersionMax="47" xr10:uidLastSave="{00000000-0000-0000-0000-000000000000}"/>
  <bookViews>
    <workbookView xWindow="-108" yWindow="-108" windowWidth="23256" windowHeight="12456" xr2:uid="{38A1B9D0-950D-4CAA-B16F-98DB7A748351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7" i="1" l="1"/>
  <c r="F29" i="1" s="1"/>
  <c r="D27" i="1"/>
  <c r="D29" i="1" s="1"/>
  <c r="I232" i="1"/>
  <c r="E232" i="1"/>
  <c r="I231" i="1"/>
  <c r="E231" i="1"/>
  <c r="I230" i="1"/>
  <c r="E230" i="1"/>
  <c r="I229" i="1"/>
  <c r="E229" i="1"/>
  <c r="I228" i="1"/>
  <c r="E228" i="1"/>
  <c r="I227" i="1"/>
  <c r="E227" i="1"/>
  <c r="I226" i="1"/>
  <c r="E226" i="1"/>
  <c r="I225" i="1"/>
  <c r="E225" i="1"/>
  <c r="I224" i="1"/>
  <c r="E224" i="1"/>
  <c r="I223" i="1"/>
  <c r="E223" i="1"/>
  <c r="I222" i="1"/>
  <c r="E222" i="1"/>
  <c r="I221" i="1"/>
  <c r="E221" i="1"/>
  <c r="I220" i="1"/>
  <c r="E220" i="1"/>
  <c r="I219" i="1"/>
  <c r="E219" i="1"/>
  <c r="I218" i="1"/>
  <c r="E218" i="1"/>
  <c r="I217" i="1"/>
  <c r="E217" i="1"/>
  <c r="I216" i="1"/>
  <c r="E216" i="1"/>
  <c r="I215" i="1"/>
  <c r="E215" i="1"/>
  <c r="I214" i="1"/>
  <c r="E214" i="1"/>
  <c r="I213" i="1"/>
  <c r="E213" i="1"/>
  <c r="I212" i="1"/>
  <c r="E212" i="1"/>
  <c r="I211" i="1"/>
  <c r="E211" i="1"/>
  <c r="I210" i="1"/>
  <c r="E210" i="1"/>
  <c r="I209" i="1"/>
  <c r="E209" i="1"/>
  <c r="I208" i="1"/>
  <c r="E208" i="1"/>
  <c r="I207" i="1"/>
  <c r="E207" i="1"/>
  <c r="I206" i="1"/>
  <c r="E206" i="1"/>
  <c r="I205" i="1"/>
  <c r="E205" i="1"/>
  <c r="I204" i="1"/>
  <c r="E204" i="1"/>
  <c r="I203" i="1"/>
  <c r="E203" i="1"/>
  <c r="I202" i="1"/>
  <c r="E202" i="1"/>
  <c r="I201" i="1"/>
  <c r="E201" i="1"/>
  <c r="I200" i="1"/>
  <c r="E200" i="1"/>
  <c r="I199" i="1"/>
  <c r="E199" i="1"/>
  <c r="I198" i="1"/>
  <c r="E198" i="1"/>
  <c r="I197" i="1"/>
  <c r="E197" i="1"/>
  <c r="I196" i="1"/>
  <c r="E196" i="1"/>
  <c r="I195" i="1"/>
  <c r="E195" i="1"/>
  <c r="I194" i="1"/>
  <c r="E194" i="1"/>
  <c r="I193" i="1"/>
  <c r="E193" i="1"/>
  <c r="I192" i="1"/>
  <c r="E192" i="1"/>
  <c r="I191" i="1"/>
  <c r="E191" i="1"/>
  <c r="I190" i="1"/>
  <c r="E190" i="1"/>
  <c r="I189" i="1"/>
  <c r="E189" i="1"/>
  <c r="I188" i="1"/>
  <c r="E188" i="1"/>
  <c r="I187" i="1"/>
  <c r="E187" i="1"/>
  <c r="I186" i="1"/>
  <c r="E186" i="1"/>
  <c r="I185" i="1"/>
  <c r="E185" i="1"/>
  <c r="I184" i="1"/>
  <c r="E184" i="1"/>
  <c r="I183" i="1"/>
  <c r="E183" i="1"/>
  <c r="I182" i="1"/>
  <c r="E182" i="1"/>
  <c r="I181" i="1"/>
  <c r="E181" i="1"/>
  <c r="I180" i="1"/>
  <c r="E180" i="1"/>
  <c r="I179" i="1"/>
  <c r="E179" i="1"/>
  <c r="I178" i="1"/>
  <c r="E178" i="1"/>
  <c r="I177" i="1"/>
  <c r="E177" i="1"/>
  <c r="I176" i="1"/>
  <c r="E176" i="1"/>
  <c r="I175" i="1"/>
  <c r="E175" i="1"/>
  <c r="I174" i="1"/>
  <c r="E174" i="1"/>
  <c r="I173" i="1"/>
  <c r="E173" i="1"/>
  <c r="I172" i="1"/>
  <c r="E172" i="1"/>
  <c r="I171" i="1"/>
  <c r="E171" i="1"/>
  <c r="I170" i="1"/>
  <c r="E170" i="1"/>
  <c r="I169" i="1"/>
  <c r="E169" i="1"/>
  <c r="I168" i="1"/>
  <c r="E168" i="1"/>
  <c r="I167" i="1"/>
  <c r="E167" i="1"/>
  <c r="I166" i="1"/>
  <c r="E166" i="1"/>
  <c r="I165" i="1"/>
  <c r="E165" i="1"/>
  <c r="I164" i="1"/>
  <c r="E164" i="1"/>
  <c r="I163" i="1"/>
  <c r="E163" i="1"/>
  <c r="I162" i="1"/>
  <c r="E162" i="1"/>
  <c r="I161" i="1"/>
  <c r="E161" i="1"/>
  <c r="I160" i="1"/>
  <c r="E160" i="1"/>
  <c r="I159" i="1"/>
  <c r="E159" i="1"/>
  <c r="I158" i="1"/>
  <c r="E158" i="1"/>
  <c r="I157" i="1"/>
  <c r="E157" i="1"/>
  <c r="I156" i="1"/>
  <c r="E156" i="1"/>
  <c r="I155" i="1"/>
  <c r="E155" i="1"/>
  <c r="I154" i="1"/>
  <c r="E154" i="1"/>
  <c r="I153" i="1"/>
  <c r="E153" i="1"/>
  <c r="I152" i="1"/>
  <c r="E152" i="1"/>
  <c r="I151" i="1"/>
  <c r="E151" i="1"/>
  <c r="I150" i="1"/>
  <c r="E150" i="1"/>
  <c r="I149" i="1"/>
  <c r="E149" i="1"/>
  <c r="I148" i="1"/>
  <c r="E148" i="1"/>
  <c r="I147" i="1"/>
  <c r="E147" i="1"/>
  <c r="I146" i="1"/>
  <c r="E146" i="1"/>
  <c r="I145" i="1"/>
  <c r="E145" i="1"/>
  <c r="I144" i="1"/>
  <c r="E144" i="1"/>
  <c r="I143" i="1"/>
  <c r="E143" i="1"/>
  <c r="I142" i="1"/>
  <c r="E142" i="1"/>
  <c r="I141" i="1"/>
  <c r="E141" i="1"/>
  <c r="I140" i="1"/>
  <c r="E140" i="1"/>
  <c r="I139" i="1"/>
  <c r="E139" i="1"/>
  <c r="I138" i="1"/>
  <c r="E138" i="1"/>
  <c r="I137" i="1"/>
  <c r="E137" i="1"/>
  <c r="I136" i="1"/>
  <c r="E136" i="1"/>
  <c r="I135" i="1"/>
  <c r="E135" i="1"/>
  <c r="I134" i="1"/>
  <c r="E134" i="1"/>
  <c r="I133" i="1"/>
  <c r="E133" i="1"/>
  <c r="I132" i="1"/>
  <c r="E132" i="1"/>
  <c r="I131" i="1"/>
  <c r="E131" i="1"/>
  <c r="I130" i="1"/>
  <c r="E130" i="1"/>
  <c r="I129" i="1"/>
  <c r="E129" i="1"/>
  <c r="I128" i="1"/>
  <c r="E128" i="1"/>
  <c r="I127" i="1"/>
  <c r="E127" i="1"/>
  <c r="I126" i="1"/>
  <c r="E126" i="1"/>
  <c r="I125" i="1"/>
  <c r="E125" i="1"/>
  <c r="I124" i="1"/>
  <c r="E124" i="1"/>
  <c r="I123" i="1"/>
  <c r="E123" i="1"/>
  <c r="I122" i="1"/>
  <c r="E122" i="1"/>
  <c r="I121" i="1"/>
  <c r="E121" i="1"/>
  <c r="I120" i="1"/>
  <c r="E120" i="1"/>
  <c r="I119" i="1"/>
  <c r="E119" i="1"/>
  <c r="I118" i="1"/>
  <c r="E118" i="1"/>
  <c r="I117" i="1"/>
  <c r="E117" i="1"/>
  <c r="I116" i="1"/>
  <c r="E116" i="1"/>
  <c r="I115" i="1"/>
  <c r="E115" i="1"/>
  <c r="I114" i="1"/>
  <c r="E114" i="1"/>
  <c r="I113" i="1"/>
  <c r="E113" i="1"/>
  <c r="I112" i="1"/>
  <c r="E112" i="1"/>
  <c r="I111" i="1"/>
  <c r="E111" i="1"/>
  <c r="I110" i="1"/>
  <c r="E110" i="1"/>
  <c r="I109" i="1"/>
  <c r="E109" i="1"/>
  <c r="I108" i="1"/>
  <c r="E108" i="1"/>
  <c r="I107" i="1"/>
  <c r="E107" i="1"/>
  <c r="I106" i="1"/>
  <c r="E106" i="1"/>
  <c r="I105" i="1"/>
  <c r="E105" i="1"/>
  <c r="I104" i="1"/>
  <c r="E104" i="1"/>
  <c r="I103" i="1"/>
  <c r="E103" i="1"/>
  <c r="I102" i="1"/>
  <c r="E102" i="1"/>
  <c r="I101" i="1"/>
  <c r="E101" i="1"/>
  <c r="I100" i="1"/>
  <c r="E100" i="1"/>
  <c r="I99" i="1"/>
  <c r="E99" i="1"/>
  <c r="I98" i="1"/>
  <c r="E98" i="1"/>
  <c r="I97" i="1"/>
  <c r="E97" i="1"/>
  <c r="I96" i="1"/>
  <c r="E96" i="1"/>
  <c r="I95" i="1"/>
  <c r="E95" i="1"/>
  <c r="I94" i="1"/>
  <c r="E94" i="1"/>
  <c r="I93" i="1"/>
  <c r="E93" i="1"/>
  <c r="I92" i="1"/>
  <c r="E92" i="1"/>
  <c r="I91" i="1"/>
  <c r="E91" i="1"/>
  <c r="I90" i="1"/>
  <c r="E90" i="1"/>
  <c r="I89" i="1"/>
  <c r="E89" i="1"/>
  <c r="I88" i="1"/>
  <c r="E88" i="1"/>
  <c r="I87" i="1"/>
  <c r="E87" i="1"/>
  <c r="I86" i="1"/>
  <c r="E86" i="1"/>
  <c r="I85" i="1"/>
  <c r="E85" i="1"/>
  <c r="I84" i="1"/>
  <c r="E84" i="1"/>
  <c r="I83" i="1"/>
  <c r="E83" i="1"/>
  <c r="I82" i="1"/>
  <c r="E82" i="1"/>
  <c r="I81" i="1"/>
  <c r="E81" i="1"/>
  <c r="I80" i="1"/>
  <c r="E80" i="1"/>
  <c r="I79" i="1"/>
  <c r="E79" i="1"/>
  <c r="I78" i="1"/>
  <c r="E78" i="1"/>
  <c r="I77" i="1"/>
  <c r="E77" i="1"/>
  <c r="I76" i="1"/>
  <c r="E76" i="1"/>
  <c r="I75" i="1"/>
  <c r="E75" i="1"/>
  <c r="I74" i="1"/>
  <c r="E74" i="1"/>
  <c r="I73" i="1"/>
  <c r="E73" i="1"/>
  <c r="I72" i="1"/>
  <c r="E72" i="1"/>
  <c r="I71" i="1"/>
  <c r="E71" i="1"/>
  <c r="I70" i="1"/>
  <c r="E70" i="1"/>
  <c r="I69" i="1"/>
  <c r="E69" i="1"/>
  <c r="I68" i="1"/>
  <c r="E68" i="1"/>
  <c r="I67" i="1"/>
  <c r="E67" i="1"/>
  <c r="I66" i="1"/>
  <c r="E66" i="1"/>
  <c r="I65" i="1"/>
  <c r="E65" i="1"/>
  <c r="I64" i="1"/>
  <c r="E64" i="1"/>
  <c r="I63" i="1"/>
  <c r="E63" i="1"/>
  <c r="I62" i="1"/>
  <c r="E62" i="1"/>
  <c r="I61" i="1"/>
  <c r="E61" i="1"/>
  <c r="I60" i="1"/>
  <c r="E60" i="1"/>
  <c r="I59" i="1"/>
  <c r="E59" i="1"/>
  <c r="I58" i="1"/>
  <c r="E58" i="1"/>
  <c r="I57" i="1"/>
  <c r="E57" i="1"/>
  <c r="I56" i="1"/>
  <c r="E56" i="1"/>
  <c r="I55" i="1"/>
  <c r="E55" i="1"/>
  <c r="I54" i="1"/>
  <c r="E54" i="1"/>
  <c r="I53" i="1"/>
  <c r="E53" i="1"/>
  <c r="I52" i="1"/>
  <c r="E52" i="1"/>
  <c r="I51" i="1"/>
  <c r="E51" i="1"/>
  <c r="I50" i="1"/>
  <c r="E50" i="1"/>
  <c r="I49" i="1"/>
  <c r="E49" i="1"/>
  <c r="I48" i="1"/>
  <c r="E48" i="1"/>
  <c r="I47" i="1"/>
  <c r="E47" i="1"/>
  <c r="I46" i="1"/>
  <c r="E46" i="1"/>
  <c r="I45" i="1"/>
  <c r="E45" i="1"/>
  <c r="I44" i="1"/>
  <c r="E44" i="1"/>
  <c r="I43" i="1"/>
  <c r="E43" i="1"/>
  <c r="I42" i="1"/>
  <c r="E42" i="1"/>
  <c r="I41" i="1"/>
  <c r="E41" i="1"/>
  <c r="I40" i="1"/>
  <c r="E40" i="1"/>
  <c r="I39" i="1"/>
  <c r="E39" i="1"/>
  <c r="I38" i="1"/>
  <c r="E38" i="1"/>
  <c r="I37" i="1"/>
  <c r="E37" i="1"/>
  <c r="I36" i="1"/>
  <c r="E36" i="1"/>
  <c r="I35" i="1"/>
  <c r="E35" i="1"/>
  <c r="I34" i="1"/>
  <c r="E34" i="1"/>
  <c r="D141" i="1"/>
  <c r="D142" i="1" s="1"/>
  <c r="D143" i="1" s="1"/>
  <c r="D144" i="1" s="1"/>
  <c r="D145" i="1" s="1"/>
  <c r="D146" i="1" s="1"/>
  <c r="D147" i="1" s="1"/>
  <c r="D148" i="1" s="1"/>
  <c r="D149" i="1" s="1"/>
  <c r="D150" i="1" s="1"/>
  <c r="D151" i="1" s="1"/>
  <c r="D152" i="1" s="1"/>
  <c r="D153" i="1" s="1"/>
  <c r="D154" i="1" s="1"/>
  <c r="D155" i="1" s="1"/>
  <c r="D156" i="1" s="1"/>
  <c r="D157" i="1" s="1"/>
  <c r="D158" i="1" s="1"/>
  <c r="D159" i="1" s="1"/>
  <c r="D160" i="1" s="1"/>
  <c r="D161" i="1" s="1"/>
  <c r="D162" i="1" s="1"/>
  <c r="D163" i="1" s="1"/>
  <c r="D164" i="1" s="1"/>
  <c r="D165" i="1" s="1"/>
  <c r="D166" i="1" s="1"/>
  <c r="D167" i="1" s="1"/>
  <c r="D168" i="1" s="1"/>
  <c r="D169" i="1" s="1"/>
  <c r="D170" i="1" s="1"/>
  <c r="D171" i="1" s="1"/>
  <c r="D172" i="1" s="1"/>
  <c r="D173" i="1" s="1"/>
  <c r="D174" i="1" s="1"/>
  <c r="D175" i="1" s="1"/>
  <c r="D176" i="1" s="1"/>
  <c r="D177" i="1" s="1"/>
  <c r="D178" i="1" s="1"/>
  <c r="D179" i="1" s="1"/>
  <c r="D180" i="1" s="1"/>
  <c r="D181" i="1" s="1"/>
  <c r="D182" i="1" s="1"/>
  <c r="D183" i="1" s="1"/>
  <c r="D184" i="1" s="1"/>
  <c r="D185" i="1" s="1"/>
  <c r="D186" i="1" s="1"/>
  <c r="D187" i="1" s="1"/>
  <c r="D188" i="1" s="1"/>
  <c r="D189" i="1" s="1"/>
  <c r="D190" i="1" s="1"/>
  <c r="D191" i="1" s="1"/>
  <c r="D192" i="1" s="1"/>
  <c r="D193" i="1" s="1"/>
  <c r="D194" i="1" s="1"/>
  <c r="D195" i="1" s="1"/>
  <c r="D196" i="1" s="1"/>
  <c r="D197" i="1" s="1"/>
  <c r="D198" i="1" s="1"/>
  <c r="D199" i="1" s="1"/>
  <c r="D200" i="1" s="1"/>
  <c r="D201" i="1" s="1"/>
  <c r="D202" i="1" s="1"/>
  <c r="D203" i="1" s="1"/>
  <c r="D204" i="1" s="1"/>
  <c r="D205" i="1" s="1"/>
  <c r="D206" i="1" s="1"/>
  <c r="D207" i="1" s="1"/>
  <c r="D208" i="1" s="1"/>
  <c r="D209" i="1" s="1"/>
  <c r="D210" i="1" s="1"/>
  <c r="D211" i="1" s="1"/>
  <c r="D212" i="1" s="1"/>
  <c r="D213" i="1" s="1"/>
  <c r="D214" i="1" s="1"/>
  <c r="D215" i="1" s="1"/>
  <c r="D216" i="1" s="1"/>
  <c r="D217" i="1" s="1"/>
  <c r="D218" i="1" s="1"/>
  <c r="D219" i="1" s="1"/>
  <c r="D220" i="1" s="1"/>
  <c r="D221" i="1" s="1"/>
  <c r="D222" i="1" s="1"/>
  <c r="D223" i="1" s="1"/>
  <c r="D224" i="1" s="1"/>
  <c r="D225" i="1" s="1"/>
  <c r="D226" i="1" s="1"/>
  <c r="D227" i="1" s="1"/>
  <c r="D228" i="1" s="1"/>
  <c r="D229" i="1" s="1"/>
  <c r="D230" i="1" s="1"/>
  <c r="D231" i="1" s="1"/>
  <c r="D232" i="1" s="1"/>
  <c r="D36" i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1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2" i="1" s="1"/>
  <c r="D123" i="1" s="1"/>
  <c r="D124" i="1" s="1"/>
  <c r="D125" i="1" s="1"/>
  <c r="D126" i="1" s="1"/>
  <c r="D127" i="1" s="1"/>
  <c r="D128" i="1" s="1"/>
  <c r="D129" i="1" s="1"/>
  <c r="D130" i="1" s="1"/>
  <c r="D131" i="1" s="1"/>
  <c r="D132" i="1" s="1"/>
  <c r="D133" i="1" s="1"/>
  <c r="D134" i="1" s="1"/>
  <c r="D135" i="1" s="1"/>
  <c r="D136" i="1" s="1"/>
  <c r="D137" i="1" s="1"/>
  <c r="D138" i="1" s="1"/>
  <c r="D139" i="1" s="1"/>
  <c r="D140" i="1" s="1"/>
  <c r="D35" i="1"/>
  <c r="E29" i="1"/>
  <c r="C31" i="1"/>
  <c r="E27" i="1"/>
  <c r="E28" i="1" s="1"/>
  <c r="C25" i="1"/>
  <c r="F231" i="1" a="1"/>
  <c r="F223" i="1" a="1"/>
  <c r="F215" i="1" a="1"/>
  <c r="F207" i="1" a="1"/>
  <c r="F199" i="1" a="1"/>
  <c r="F191" i="1" a="1"/>
  <c r="F183" i="1" a="1"/>
  <c r="F175" i="1" a="1"/>
  <c r="F167" i="1" a="1"/>
  <c r="F159" i="1" a="1"/>
  <c r="F151" i="1" a="1"/>
  <c r="F143" i="1" a="1"/>
  <c r="F135" i="1" a="1"/>
  <c r="F127" i="1" a="1"/>
  <c r="F119" i="1" a="1"/>
  <c r="F111" i="1" a="1"/>
  <c r="F103" i="1" a="1"/>
  <c r="F95" i="1" a="1"/>
  <c r="F87" i="1" a="1"/>
  <c r="F79" i="1" a="1"/>
  <c r="F71" i="1" a="1"/>
  <c r="F63" i="1" a="1"/>
  <c r="F55" i="1" a="1"/>
  <c r="F47" i="1" a="1"/>
  <c r="F39" i="1" a="1"/>
  <c r="F98" i="1" a="1"/>
  <c r="F90" i="1" a="1"/>
  <c r="F82" i="1" a="1"/>
  <c r="F74" i="1" a="1"/>
  <c r="F50" i="1" a="1"/>
  <c r="F226" i="1" a="1"/>
  <c r="F218" i="1" a="1"/>
  <c r="F210" i="1" a="1"/>
  <c r="F202" i="1" a="1"/>
  <c r="F194" i="1" a="1"/>
  <c r="F186" i="1" a="1"/>
  <c r="F178" i="1" a="1"/>
  <c r="F170" i="1" a="1"/>
  <c r="F162" i="1" a="1"/>
  <c r="F154" i="1" a="1"/>
  <c r="F146" i="1" a="1"/>
  <c r="F138" i="1" a="1"/>
  <c r="F130" i="1" a="1"/>
  <c r="F122" i="1" a="1"/>
  <c r="F114" i="1" a="1"/>
  <c r="F106" i="1" a="1"/>
  <c r="F66" i="1" a="1"/>
  <c r="F58" i="1" a="1"/>
  <c r="F229" i="1" a="1"/>
  <c r="F221" i="1" a="1"/>
  <c r="F213" i="1" a="1"/>
  <c r="F205" i="1" a="1"/>
  <c r="F197" i="1" a="1"/>
  <c r="F189" i="1" a="1"/>
  <c r="F181" i="1" a="1"/>
  <c r="F173" i="1" a="1"/>
  <c r="F165" i="1" a="1"/>
  <c r="F157" i="1" a="1"/>
  <c r="F149" i="1" a="1"/>
  <c r="F141" i="1" a="1"/>
  <c r="F133" i="1" a="1"/>
  <c r="F125" i="1" a="1"/>
  <c r="F117" i="1" a="1"/>
  <c r="F109" i="1" a="1"/>
  <c r="F101" i="1" a="1"/>
  <c r="F93" i="1" a="1"/>
  <c r="F85" i="1" a="1"/>
  <c r="F77" i="1" a="1"/>
  <c r="F69" i="1" a="1"/>
  <c r="F61" i="1" a="1"/>
  <c r="F53" i="1" a="1"/>
  <c r="F45" i="1" a="1"/>
  <c r="F37" i="1" a="1"/>
  <c r="F222" i="1" a="1"/>
  <c r="F190" i="1" a="1"/>
  <c r="F182" i="1" a="1"/>
  <c r="F232" i="1" a="1"/>
  <c r="F224" i="1" a="1"/>
  <c r="F216" i="1" a="1"/>
  <c r="F208" i="1" a="1"/>
  <c r="F200" i="1" a="1"/>
  <c r="F192" i="1" a="1"/>
  <c r="F184" i="1" a="1"/>
  <c r="F176" i="1" a="1"/>
  <c r="F168" i="1" a="1"/>
  <c r="F160" i="1" a="1"/>
  <c r="F152" i="1" a="1"/>
  <c r="F144" i="1" a="1"/>
  <c r="F136" i="1" a="1"/>
  <c r="F128" i="1" a="1"/>
  <c r="F120" i="1" a="1"/>
  <c r="F112" i="1" a="1"/>
  <c r="F104" i="1" a="1"/>
  <c r="F96" i="1" a="1"/>
  <c r="F88" i="1" a="1"/>
  <c r="F80" i="1" a="1"/>
  <c r="F72" i="1" a="1"/>
  <c r="F64" i="1" a="1"/>
  <c r="F56" i="1" a="1"/>
  <c r="F48" i="1" a="1"/>
  <c r="F40" i="1" a="1"/>
  <c r="F59" i="1" a="1"/>
  <c r="F43" i="1" a="1"/>
  <c r="F35" i="1" a="1"/>
  <c r="F230" i="1" a="1"/>
  <c r="F214" i="1" a="1"/>
  <c r="F198" i="1" a="1"/>
  <c r="F174" i="1" a="1"/>
  <c r="F166" i="1" a="1"/>
  <c r="F158" i="1" a="1"/>
  <c r="F150" i="1" a="1"/>
  <c r="F227" i="1" a="1"/>
  <c r="F219" i="1" a="1"/>
  <c r="F211" i="1" a="1"/>
  <c r="F203" i="1" a="1"/>
  <c r="F195" i="1" a="1"/>
  <c r="F187" i="1" a="1"/>
  <c r="F179" i="1" a="1"/>
  <c r="F171" i="1" a="1"/>
  <c r="F163" i="1" a="1"/>
  <c r="F155" i="1" a="1"/>
  <c r="F147" i="1" a="1"/>
  <c r="F139" i="1" a="1"/>
  <c r="F131" i="1" a="1"/>
  <c r="F123" i="1" a="1"/>
  <c r="F115" i="1" a="1"/>
  <c r="F107" i="1" a="1"/>
  <c r="F99" i="1" a="1"/>
  <c r="F91" i="1" a="1"/>
  <c r="F83" i="1" a="1"/>
  <c r="F75" i="1" a="1"/>
  <c r="F67" i="1" a="1"/>
  <c r="F51" i="1" a="1"/>
  <c r="F206" i="1" a="1"/>
  <c r="F225" i="1" a="1"/>
  <c r="F217" i="1" a="1"/>
  <c r="F209" i="1" a="1"/>
  <c r="F201" i="1" a="1"/>
  <c r="F193" i="1" a="1"/>
  <c r="F185" i="1" a="1"/>
  <c r="F177" i="1" a="1"/>
  <c r="F169" i="1" a="1"/>
  <c r="F161" i="1" a="1"/>
  <c r="F153" i="1" a="1"/>
  <c r="F145" i="1" a="1"/>
  <c r="F137" i="1" a="1"/>
  <c r="F129" i="1" a="1"/>
  <c r="F121" i="1" a="1"/>
  <c r="F113" i="1" a="1"/>
  <c r="F105" i="1" a="1"/>
  <c r="F97" i="1" a="1"/>
  <c r="F89" i="1" a="1"/>
  <c r="F81" i="1" a="1"/>
  <c r="F73" i="1" a="1"/>
  <c r="F65" i="1" a="1"/>
  <c r="F57" i="1" a="1"/>
  <c r="F49" i="1" a="1"/>
  <c r="F41" i="1" a="1"/>
  <c r="F228" i="1" a="1"/>
  <c r="F220" i="1" a="1"/>
  <c r="F212" i="1" a="1"/>
  <c r="F204" i="1" a="1"/>
  <c r="F196" i="1" a="1"/>
  <c r="F188" i="1" a="1"/>
  <c r="F180" i="1" a="1"/>
  <c r="F156" i="1" a="1"/>
  <c r="F42" i="1" a="1"/>
  <c r="F140" i="1" a="1"/>
  <c r="F134" i="1" a="1"/>
  <c r="F108" i="1" a="1"/>
  <c r="F102" i="1" a="1"/>
  <c r="F76" i="1" a="1"/>
  <c r="F70" i="1" a="1"/>
  <c r="F172" i="1" a="1"/>
  <c r="F44" i="1" a="1"/>
  <c r="F54" i="1" a="1"/>
  <c r="F100" i="1" a="1"/>
  <c r="F126" i="1" a="1"/>
  <c r="F148" i="1" a="1"/>
  <c r="F142" i="1" a="1"/>
  <c r="F116" i="1" a="1"/>
  <c r="F110" i="1" a="1"/>
  <c r="F84" i="1" a="1"/>
  <c r="F78" i="1" a="1"/>
  <c r="F52" i="1" a="1"/>
  <c r="F46" i="1" a="1"/>
  <c r="F36" i="1" a="1"/>
  <c r="F118" i="1" a="1"/>
  <c r="F132" i="1" a="1"/>
  <c r="F94" i="1" a="1"/>
  <c r="F68" i="1" a="1"/>
  <c r="F38" i="1" a="1"/>
  <c r="F164" i="1" a="1"/>
  <c r="F124" i="1" a="1"/>
  <c r="F92" i="1" a="1"/>
  <c r="F86" i="1" a="1"/>
  <c r="F60" i="1" a="1"/>
  <c r="F62" i="1" a="1"/>
  <c r="F34" i="1" a="1"/>
  <c r="C32" i="1" a="1"/>
  <c r="F62" i="1" l="1"/>
  <c r="J62" i="1" s="1"/>
  <c r="F60" i="1"/>
  <c r="F86" i="1"/>
  <c r="J86" i="1" s="1"/>
  <c r="F92" i="1"/>
  <c r="F124" i="1"/>
  <c r="F164" i="1"/>
  <c r="J164" i="1" s="1"/>
  <c r="F38" i="1"/>
  <c r="J38" i="1" s="1"/>
  <c r="F68" i="1"/>
  <c r="F94" i="1"/>
  <c r="J94" i="1" s="1"/>
  <c r="F132" i="1"/>
  <c r="F118" i="1"/>
  <c r="J118" i="1" s="1"/>
  <c r="F36" i="1"/>
  <c r="F46" i="1"/>
  <c r="J46" i="1" s="1"/>
  <c r="F52" i="1"/>
  <c r="F78" i="1"/>
  <c r="J78" i="1" s="1"/>
  <c r="F84" i="1"/>
  <c r="F110" i="1"/>
  <c r="J110" i="1" s="1"/>
  <c r="F116" i="1"/>
  <c r="F142" i="1"/>
  <c r="J142" i="1" s="1"/>
  <c r="F148" i="1"/>
  <c r="F126" i="1"/>
  <c r="J126" i="1" s="1"/>
  <c r="F100" i="1"/>
  <c r="J100" i="1" s="1"/>
  <c r="F54" i="1"/>
  <c r="J54" i="1" s="1"/>
  <c r="F44" i="1"/>
  <c r="F172" i="1"/>
  <c r="F70" i="1"/>
  <c r="J70" i="1" s="1"/>
  <c r="F76" i="1"/>
  <c r="F102" i="1"/>
  <c r="J102" i="1" s="1"/>
  <c r="F108" i="1"/>
  <c r="J108" i="1" s="1"/>
  <c r="F134" i="1"/>
  <c r="J134" i="1" s="1"/>
  <c r="F140" i="1"/>
  <c r="F42" i="1"/>
  <c r="F156" i="1"/>
  <c r="J156" i="1" s="1"/>
  <c r="F180" i="1"/>
  <c r="F188" i="1"/>
  <c r="F196" i="1"/>
  <c r="F204" i="1"/>
  <c r="J204" i="1" s="1"/>
  <c r="F212" i="1"/>
  <c r="J212" i="1" s="1"/>
  <c r="F220" i="1"/>
  <c r="F228" i="1"/>
  <c r="F41" i="1"/>
  <c r="F49" i="1"/>
  <c r="F57" i="1"/>
  <c r="F65" i="1"/>
  <c r="F73" i="1"/>
  <c r="J73" i="1" s="1"/>
  <c r="F81" i="1"/>
  <c r="J81" i="1" s="1"/>
  <c r="F89" i="1"/>
  <c r="F97" i="1"/>
  <c r="F105" i="1"/>
  <c r="J105" i="1" s="1"/>
  <c r="F113" i="1"/>
  <c r="F121" i="1"/>
  <c r="F129" i="1"/>
  <c r="F137" i="1"/>
  <c r="J137" i="1" s="1"/>
  <c r="F145" i="1"/>
  <c r="J145" i="1" s="1"/>
  <c r="F153" i="1"/>
  <c r="F161" i="1"/>
  <c r="F169" i="1"/>
  <c r="J169" i="1" s="1"/>
  <c r="F177" i="1"/>
  <c r="F185" i="1"/>
  <c r="F193" i="1"/>
  <c r="F201" i="1"/>
  <c r="F209" i="1"/>
  <c r="J209" i="1" s="1"/>
  <c r="F217" i="1"/>
  <c r="F225" i="1"/>
  <c r="F206" i="1"/>
  <c r="J206" i="1" s="1"/>
  <c r="F51" i="1"/>
  <c r="F67" i="1"/>
  <c r="F75" i="1"/>
  <c r="F83" i="1"/>
  <c r="J83" i="1" s="1"/>
  <c r="F91" i="1"/>
  <c r="J91" i="1" s="1"/>
  <c r="F99" i="1"/>
  <c r="F107" i="1"/>
  <c r="F115" i="1"/>
  <c r="J115" i="1" s="1"/>
  <c r="F123" i="1"/>
  <c r="F131" i="1"/>
  <c r="F139" i="1"/>
  <c r="F147" i="1"/>
  <c r="F155" i="1"/>
  <c r="J155" i="1" s="1"/>
  <c r="F163" i="1"/>
  <c r="F171" i="1"/>
  <c r="J171" i="1" s="1"/>
  <c r="F179" i="1"/>
  <c r="J179" i="1" s="1"/>
  <c r="F187" i="1"/>
  <c r="F195" i="1"/>
  <c r="F203" i="1"/>
  <c r="F211" i="1"/>
  <c r="J211" i="1" s="1"/>
  <c r="F219" i="1"/>
  <c r="J219" i="1" s="1"/>
  <c r="F227" i="1"/>
  <c r="F150" i="1"/>
  <c r="J150" i="1" s="1"/>
  <c r="F158" i="1"/>
  <c r="J158" i="1" s="1"/>
  <c r="F166" i="1"/>
  <c r="J166" i="1" s="1"/>
  <c r="F174" i="1"/>
  <c r="J174" i="1" s="1"/>
  <c r="F198" i="1"/>
  <c r="J198" i="1" s="1"/>
  <c r="F214" i="1"/>
  <c r="J214" i="1" s="1"/>
  <c r="F230" i="1"/>
  <c r="J230" i="1" s="1"/>
  <c r="F35" i="1"/>
  <c r="F43" i="1"/>
  <c r="F59" i="1"/>
  <c r="F40" i="1"/>
  <c r="J40" i="1" s="1"/>
  <c r="F48" i="1"/>
  <c r="J48" i="1" s="1"/>
  <c r="F56" i="1"/>
  <c r="J56" i="1" s="1"/>
  <c r="F64" i="1"/>
  <c r="J64" i="1" s="1"/>
  <c r="F72" i="1"/>
  <c r="F80" i="1"/>
  <c r="F88" i="1"/>
  <c r="J88" i="1" s="1"/>
  <c r="F96" i="1"/>
  <c r="J96" i="1" s="1"/>
  <c r="F104" i="1"/>
  <c r="F112" i="1"/>
  <c r="F120" i="1"/>
  <c r="F128" i="1"/>
  <c r="J128" i="1" s="1"/>
  <c r="F136" i="1"/>
  <c r="J136" i="1" s="1"/>
  <c r="F144" i="1"/>
  <c r="F152" i="1"/>
  <c r="J152" i="1" s="1"/>
  <c r="F160" i="1"/>
  <c r="J160" i="1" s="1"/>
  <c r="F168" i="1"/>
  <c r="J168" i="1" s="1"/>
  <c r="F176" i="1"/>
  <c r="J176" i="1" s="1"/>
  <c r="F184" i="1"/>
  <c r="J184" i="1" s="1"/>
  <c r="F192" i="1"/>
  <c r="J192" i="1" s="1"/>
  <c r="F200" i="1"/>
  <c r="J200" i="1" s="1"/>
  <c r="F208" i="1"/>
  <c r="J208" i="1" s="1"/>
  <c r="F216" i="1"/>
  <c r="J216" i="1" s="1"/>
  <c r="F224" i="1"/>
  <c r="F232" i="1"/>
  <c r="F182" i="1"/>
  <c r="J182" i="1" s="1"/>
  <c r="F190" i="1"/>
  <c r="J190" i="1" s="1"/>
  <c r="F222" i="1"/>
  <c r="J222" i="1" s="1"/>
  <c r="F37" i="1"/>
  <c r="J37" i="1" s="1"/>
  <c r="F45" i="1"/>
  <c r="J45" i="1" s="1"/>
  <c r="F53" i="1"/>
  <c r="J53" i="1" s="1"/>
  <c r="F61" i="1"/>
  <c r="J61" i="1" s="1"/>
  <c r="F69" i="1"/>
  <c r="J69" i="1" s="1"/>
  <c r="F77" i="1"/>
  <c r="J77" i="1" s="1"/>
  <c r="F85" i="1"/>
  <c r="J85" i="1" s="1"/>
  <c r="F93" i="1"/>
  <c r="J93" i="1" s="1"/>
  <c r="F101" i="1"/>
  <c r="J101" i="1" s="1"/>
  <c r="F109" i="1"/>
  <c r="J109" i="1" s="1"/>
  <c r="F117" i="1"/>
  <c r="J117" i="1" s="1"/>
  <c r="F125" i="1"/>
  <c r="J125" i="1" s="1"/>
  <c r="F133" i="1"/>
  <c r="J133" i="1" s="1"/>
  <c r="F141" i="1"/>
  <c r="J141" i="1" s="1"/>
  <c r="F149" i="1"/>
  <c r="J149" i="1" s="1"/>
  <c r="F157" i="1"/>
  <c r="J157" i="1" s="1"/>
  <c r="F165" i="1"/>
  <c r="J165" i="1" s="1"/>
  <c r="F173" i="1"/>
  <c r="J173" i="1" s="1"/>
  <c r="F181" i="1"/>
  <c r="J181" i="1" s="1"/>
  <c r="F189" i="1"/>
  <c r="J189" i="1" s="1"/>
  <c r="F197" i="1"/>
  <c r="J197" i="1" s="1"/>
  <c r="F205" i="1"/>
  <c r="J205" i="1" s="1"/>
  <c r="F213" i="1"/>
  <c r="J213" i="1" s="1"/>
  <c r="F221" i="1"/>
  <c r="J221" i="1" s="1"/>
  <c r="F229" i="1"/>
  <c r="J229" i="1" s="1"/>
  <c r="F58" i="1"/>
  <c r="F66" i="1"/>
  <c r="J66" i="1" s="1"/>
  <c r="F106" i="1"/>
  <c r="J106" i="1" s="1"/>
  <c r="F114" i="1"/>
  <c r="F122" i="1"/>
  <c r="F130" i="1"/>
  <c r="J130" i="1" s="1"/>
  <c r="F138" i="1"/>
  <c r="J138" i="1" s="1"/>
  <c r="F146" i="1"/>
  <c r="J146" i="1" s="1"/>
  <c r="F154" i="1"/>
  <c r="F162" i="1"/>
  <c r="J162" i="1" s="1"/>
  <c r="F170" i="1"/>
  <c r="J170" i="1" s="1"/>
  <c r="F178" i="1"/>
  <c r="J178" i="1" s="1"/>
  <c r="F186" i="1"/>
  <c r="F194" i="1"/>
  <c r="F202" i="1"/>
  <c r="J202" i="1" s="1"/>
  <c r="F210" i="1"/>
  <c r="J210" i="1" s="1"/>
  <c r="F218" i="1"/>
  <c r="F226" i="1"/>
  <c r="J226" i="1" s="1"/>
  <c r="F50" i="1"/>
  <c r="J50" i="1" s="1"/>
  <c r="F74" i="1"/>
  <c r="F82" i="1"/>
  <c r="F90" i="1"/>
  <c r="F98" i="1"/>
  <c r="J98" i="1" s="1"/>
  <c r="F39" i="1"/>
  <c r="J39" i="1" s="1"/>
  <c r="F47" i="1"/>
  <c r="J47" i="1" s="1"/>
  <c r="F55" i="1"/>
  <c r="J55" i="1" s="1"/>
  <c r="F63" i="1"/>
  <c r="J63" i="1" s="1"/>
  <c r="F71" i="1"/>
  <c r="J71" i="1" s="1"/>
  <c r="F79" i="1"/>
  <c r="J79" i="1" s="1"/>
  <c r="F87" i="1"/>
  <c r="J87" i="1" s="1"/>
  <c r="F95" i="1"/>
  <c r="J95" i="1" s="1"/>
  <c r="F103" i="1"/>
  <c r="J103" i="1" s="1"/>
  <c r="F111" i="1"/>
  <c r="J111" i="1" s="1"/>
  <c r="F119" i="1"/>
  <c r="J119" i="1" s="1"/>
  <c r="F127" i="1"/>
  <c r="J127" i="1" s="1"/>
  <c r="F135" i="1"/>
  <c r="J135" i="1" s="1"/>
  <c r="F143" i="1"/>
  <c r="J143" i="1" s="1"/>
  <c r="F151" i="1"/>
  <c r="J151" i="1" s="1"/>
  <c r="F159" i="1"/>
  <c r="J159" i="1" s="1"/>
  <c r="F167" i="1"/>
  <c r="J167" i="1" s="1"/>
  <c r="F175" i="1"/>
  <c r="J175" i="1" s="1"/>
  <c r="F183" i="1"/>
  <c r="J183" i="1" s="1"/>
  <c r="F191" i="1"/>
  <c r="J191" i="1" s="1"/>
  <c r="F199" i="1"/>
  <c r="J199" i="1" s="1"/>
  <c r="F207" i="1"/>
  <c r="J207" i="1" s="1"/>
  <c r="F215" i="1"/>
  <c r="J215" i="1" s="1"/>
  <c r="F223" i="1"/>
  <c r="J223" i="1" s="1"/>
  <c r="F231" i="1"/>
  <c r="J231" i="1" s="1"/>
  <c r="J35" i="1"/>
  <c r="J43" i="1"/>
  <c r="J97" i="1"/>
  <c r="J129" i="1"/>
  <c r="J185" i="1"/>
  <c r="J217" i="1"/>
  <c r="J112" i="1"/>
  <c r="J121" i="1"/>
  <c r="J144" i="1"/>
  <c r="J154" i="1"/>
  <c r="J186" i="1"/>
  <c r="J194" i="1"/>
  <c r="J218" i="1"/>
  <c r="J36" i="1"/>
  <c r="J41" i="1"/>
  <c r="J52" i="1"/>
  <c r="J75" i="1"/>
  <c r="J84" i="1"/>
  <c r="J107" i="1"/>
  <c r="J116" i="1"/>
  <c r="J139" i="1"/>
  <c r="J148" i="1"/>
  <c r="J161" i="1"/>
  <c r="J193" i="1"/>
  <c r="J225" i="1"/>
  <c r="J60" i="1"/>
  <c r="J57" i="1"/>
  <c r="J80" i="1"/>
  <c r="J89" i="1"/>
  <c r="J44" i="1"/>
  <c r="J49" i="1"/>
  <c r="J72" i="1"/>
  <c r="J104" i="1"/>
  <c r="J113" i="1"/>
  <c r="J172" i="1"/>
  <c r="J187" i="1"/>
  <c r="J195" i="1"/>
  <c r="J203" i="1"/>
  <c r="J227" i="1"/>
  <c r="J201" i="1"/>
  <c r="J74" i="1"/>
  <c r="J65" i="1"/>
  <c r="J120" i="1"/>
  <c r="J153" i="1"/>
  <c r="J177" i="1"/>
  <c r="J51" i="1"/>
  <c r="J92" i="1"/>
  <c r="J124" i="1"/>
  <c r="J147" i="1"/>
  <c r="J58" i="1"/>
  <c r="J67" i="1"/>
  <c r="J76" i="1"/>
  <c r="J90" i="1"/>
  <c r="J99" i="1"/>
  <c r="J122" i="1"/>
  <c r="J131" i="1"/>
  <c r="J140" i="1"/>
  <c r="J42" i="1"/>
  <c r="J180" i="1"/>
  <c r="J188" i="1"/>
  <c r="J196" i="1"/>
  <c r="J220" i="1"/>
  <c r="J224" i="1"/>
  <c r="J228" i="1"/>
  <c r="J232" i="1"/>
  <c r="J59" i="1"/>
  <c r="J68" i="1"/>
  <c r="J82" i="1"/>
  <c r="J114" i="1"/>
  <c r="J123" i="1"/>
  <c r="J132" i="1"/>
  <c r="J163" i="1"/>
  <c r="F34" i="1"/>
  <c r="J34" i="1" s="1"/>
  <c r="C32" i="1"/>
  <c r="C3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<sst xmlns="http://schemas.openxmlformats.org/spreadsheetml/2006/main" count="35" uniqueCount="34">
  <si>
    <t>a1</t>
  </si>
  <si>
    <t>a2</t>
  </si>
  <si>
    <t>a3</t>
  </si>
  <si>
    <t>a4</t>
  </si>
  <si>
    <t>a5</t>
  </si>
  <si>
    <t>a6</t>
  </si>
  <si>
    <t>b1</t>
  </si>
  <si>
    <t>b2</t>
  </si>
  <si>
    <t>b3</t>
  </si>
  <si>
    <t>b4</t>
  </si>
  <si>
    <t>b5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</si>
  <si>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</si>
  <si>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</si>
  <si>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</si>
  <si>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</si>
  <si>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</si>
  <si>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</si>
  <si>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</si>
  <si>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</si>
  <si>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</si>
  <si>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</si>
  <si>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q</t>
  </si>
  <si>
    <t>r</t>
  </si>
  <si>
    <t>p-low</t>
  </si>
  <si>
    <t>p-high</t>
  </si>
  <si>
    <t>p&lt;p-high</t>
  </si>
  <si>
    <t>excel</t>
  </si>
  <si>
    <t>probability</t>
  </si>
  <si>
    <t>Acklam's Algorithm for the Inverse Normal CDF</t>
  </si>
  <si>
    <t>https://stackedboxes.org/2017/05/01/acklams-normal-quantile-function/</t>
  </si>
  <si>
    <t>mynormsinv</t>
  </si>
  <si>
    <t>functin</t>
  </si>
  <si>
    <t>diff</t>
  </si>
  <si>
    <t>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</si>
</sst>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">
    <xf numFmtId="0" fontId="0" fillId="0" borderId="0" xfId="0"/>
    <xf numFmtId="11" fontId="0" fillId="0" borderId="0" xfId="0" applyNumberFormat="1"/>
    <xf numFmtId="0" fontId="0" fillId="0" borderId="0" xfId="0" quotePrefix="1"/>
    <xf numFmtId="0" fontId="1" fillId="0" borderId="0" xfId="1"/>
    <xf numFmtId="0" fontId="0" fillId="2" borderId="1" xfId="0" applyFill="1" applyBorder="1"/>
    <xf numFmtId="0" fontId="0" fillId="3" borderId="1" xfId="0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Sheet1!$J$33</c:f>
              <c:strCache>
                <c:ptCount val="1"/>
                <c:pt idx="0">
                  <c:v>diff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Sheet1!$I$34:$I$232</c:f>
              <c:numCache>
                <c:formatCode>General</c:formatCode>
                <c:ptCount val="199"/>
                <c:pt idx="0">
                  <c:v>5.0000000000000001E-3</c:v>
                </c:pt>
                <c:pt idx="1">
                  <c:v>0.01</c:v>
                </c:pt>
                <c:pt idx="2">
                  <c:v>1.4999999999999999E-2</c:v>
                </c:pt>
                <c:pt idx="3">
                  <c:v>0.02</c:v>
                </c:pt>
                <c:pt idx="4">
                  <c:v>2.5000000000000001E-2</c:v>
                </c:pt>
                <c:pt idx="5">
                  <c:v>3.0000000000000002E-2</c:v>
                </c:pt>
                <c:pt idx="6">
                  <c:v>3.5000000000000003E-2</c:v>
                </c:pt>
                <c:pt idx="7">
                  <c:v>0.04</c:v>
                </c:pt>
                <c:pt idx="8">
                  <c:v>4.4999999999999998E-2</c:v>
                </c:pt>
                <c:pt idx="9">
                  <c:v>4.9999999999999996E-2</c:v>
                </c:pt>
                <c:pt idx="10">
                  <c:v>5.4999999999999993E-2</c:v>
                </c:pt>
                <c:pt idx="11">
                  <c:v>5.9999999999999991E-2</c:v>
                </c:pt>
                <c:pt idx="12">
                  <c:v>6.4999999999999988E-2</c:v>
                </c:pt>
                <c:pt idx="13">
                  <c:v>6.9999999999999993E-2</c:v>
                </c:pt>
                <c:pt idx="14">
                  <c:v>7.4999999999999997E-2</c:v>
                </c:pt>
                <c:pt idx="15">
                  <c:v>0.08</c:v>
                </c:pt>
                <c:pt idx="16">
                  <c:v>8.5000000000000006E-2</c:v>
                </c:pt>
                <c:pt idx="17">
                  <c:v>9.0000000000000011E-2</c:v>
                </c:pt>
                <c:pt idx="18">
                  <c:v>9.5000000000000015E-2</c:v>
                </c:pt>
                <c:pt idx="19">
                  <c:v>0.10000000000000002</c:v>
                </c:pt>
                <c:pt idx="20">
                  <c:v>0.10500000000000002</c:v>
                </c:pt>
                <c:pt idx="21">
                  <c:v>0.11000000000000003</c:v>
                </c:pt>
                <c:pt idx="22">
                  <c:v>0.11500000000000003</c:v>
                </c:pt>
                <c:pt idx="23">
                  <c:v>0.12000000000000004</c:v>
                </c:pt>
                <c:pt idx="24">
                  <c:v>0.12500000000000003</c:v>
                </c:pt>
                <c:pt idx="25">
                  <c:v>0.13000000000000003</c:v>
                </c:pt>
                <c:pt idx="26">
                  <c:v>0.13500000000000004</c:v>
                </c:pt>
                <c:pt idx="27">
                  <c:v>0.14000000000000004</c:v>
                </c:pt>
                <c:pt idx="28">
                  <c:v>0.14500000000000005</c:v>
                </c:pt>
                <c:pt idx="29">
                  <c:v>0.15000000000000005</c:v>
                </c:pt>
                <c:pt idx="30">
                  <c:v>0.15500000000000005</c:v>
                </c:pt>
                <c:pt idx="31">
                  <c:v>0.16000000000000006</c:v>
                </c:pt>
                <c:pt idx="32">
                  <c:v>0.16500000000000006</c:v>
                </c:pt>
                <c:pt idx="33">
                  <c:v>0.17000000000000007</c:v>
                </c:pt>
                <c:pt idx="34">
                  <c:v>0.17500000000000007</c:v>
                </c:pt>
                <c:pt idx="35">
                  <c:v>0.18000000000000008</c:v>
                </c:pt>
                <c:pt idx="36">
                  <c:v>0.18500000000000008</c:v>
                </c:pt>
                <c:pt idx="37">
                  <c:v>0.19000000000000009</c:v>
                </c:pt>
                <c:pt idx="38">
                  <c:v>0.19500000000000009</c:v>
                </c:pt>
                <c:pt idx="39">
                  <c:v>0.20000000000000009</c:v>
                </c:pt>
                <c:pt idx="40">
                  <c:v>0.2050000000000001</c:v>
                </c:pt>
                <c:pt idx="41">
                  <c:v>0.2100000000000001</c:v>
                </c:pt>
                <c:pt idx="42">
                  <c:v>0.21500000000000011</c:v>
                </c:pt>
                <c:pt idx="43">
                  <c:v>0.22000000000000011</c:v>
                </c:pt>
                <c:pt idx="44">
                  <c:v>0.22500000000000012</c:v>
                </c:pt>
                <c:pt idx="45">
                  <c:v>0.23000000000000012</c:v>
                </c:pt>
                <c:pt idx="46">
                  <c:v>0.23500000000000013</c:v>
                </c:pt>
                <c:pt idx="47">
                  <c:v>0.24000000000000013</c:v>
                </c:pt>
                <c:pt idx="48">
                  <c:v>0.24500000000000013</c:v>
                </c:pt>
                <c:pt idx="49">
                  <c:v>0.25000000000000011</c:v>
                </c:pt>
                <c:pt idx="50">
                  <c:v>0.25500000000000012</c:v>
                </c:pt>
                <c:pt idx="51">
                  <c:v>0.26000000000000012</c:v>
                </c:pt>
                <c:pt idx="52">
                  <c:v>0.26500000000000012</c:v>
                </c:pt>
                <c:pt idx="53">
                  <c:v>0.27000000000000013</c:v>
                </c:pt>
                <c:pt idx="54">
                  <c:v>0.27500000000000013</c:v>
                </c:pt>
                <c:pt idx="55">
                  <c:v>0.28000000000000014</c:v>
                </c:pt>
                <c:pt idx="56">
                  <c:v>0.28500000000000014</c:v>
                </c:pt>
                <c:pt idx="57">
                  <c:v>0.29000000000000015</c:v>
                </c:pt>
                <c:pt idx="58">
                  <c:v>0.29500000000000015</c:v>
                </c:pt>
                <c:pt idx="59">
                  <c:v>0.30000000000000016</c:v>
                </c:pt>
                <c:pt idx="60">
                  <c:v>0.30500000000000016</c:v>
                </c:pt>
                <c:pt idx="61">
                  <c:v>0.31000000000000016</c:v>
                </c:pt>
                <c:pt idx="62">
                  <c:v>0.31500000000000017</c:v>
                </c:pt>
                <c:pt idx="63">
                  <c:v>0.32000000000000017</c:v>
                </c:pt>
                <c:pt idx="64">
                  <c:v>0.32500000000000018</c:v>
                </c:pt>
                <c:pt idx="65">
                  <c:v>0.33000000000000018</c:v>
                </c:pt>
                <c:pt idx="66">
                  <c:v>0.33500000000000019</c:v>
                </c:pt>
                <c:pt idx="67">
                  <c:v>0.34000000000000019</c:v>
                </c:pt>
                <c:pt idx="68">
                  <c:v>0.3450000000000002</c:v>
                </c:pt>
                <c:pt idx="69">
                  <c:v>0.3500000000000002</c:v>
                </c:pt>
                <c:pt idx="70">
                  <c:v>0.3550000000000002</c:v>
                </c:pt>
                <c:pt idx="71">
                  <c:v>0.36000000000000021</c:v>
                </c:pt>
                <c:pt idx="72">
                  <c:v>0.36500000000000021</c:v>
                </c:pt>
                <c:pt idx="73">
                  <c:v>0.37000000000000022</c:v>
                </c:pt>
                <c:pt idx="74">
                  <c:v>0.37500000000000022</c:v>
                </c:pt>
                <c:pt idx="75">
                  <c:v>0.38000000000000023</c:v>
                </c:pt>
                <c:pt idx="76">
                  <c:v>0.38500000000000023</c:v>
                </c:pt>
                <c:pt idx="77">
                  <c:v>0.39000000000000024</c:v>
                </c:pt>
                <c:pt idx="78">
                  <c:v>0.39500000000000024</c:v>
                </c:pt>
                <c:pt idx="79">
                  <c:v>0.40000000000000024</c:v>
                </c:pt>
                <c:pt idx="80">
                  <c:v>0.40500000000000025</c:v>
                </c:pt>
                <c:pt idx="81">
                  <c:v>0.41000000000000025</c:v>
                </c:pt>
                <c:pt idx="82">
                  <c:v>0.41500000000000026</c:v>
                </c:pt>
                <c:pt idx="83">
                  <c:v>0.42000000000000026</c:v>
                </c:pt>
                <c:pt idx="84">
                  <c:v>0.42500000000000027</c:v>
                </c:pt>
                <c:pt idx="85">
                  <c:v>0.43000000000000027</c:v>
                </c:pt>
                <c:pt idx="86">
                  <c:v>0.43500000000000028</c:v>
                </c:pt>
                <c:pt idx="87">
                  <c:v>0.44000000000000028</c:v>
                </c:pt>
                <c:pt idx="88">
                  <c:v>0.44500000000000028</c:v>
                </c:pt>
                <c:pt idx="89">
                  <c:v>0.45000000000000029</c:v>
                </c:pt>
                <c:pt idx="90">
                  <c:v>0.45500000000000029</c:v>
                </c:pt>
                <c:pt idx="91">
                  <c:v>0.4600000000000003</c:v>
                </c:pt>
                <c:pt idx="92">
                  <c:v>0.4650000000000003</c:v>
                </c:pt>
                <c:pt idx="93">
                  <c:v>0.47000000000000031</c:v>
                </c:pt>
                <c:pt idx="94">
                  <c:v>0.47500000000000031</c:v>
                </c:pt>
                <c:pt idx="95">
                  <c:v>0.48000000000000032</c:v>
                </c:pt>
                <c:pt idx="96">
                  <c:v>0.48500000000000032</c:v>
                </c:pt>
                <c:pt idx="97">
                  <c:v>0.49000000000000032</c:v>
                </c:pt>
                <c:pt idx="98">
                  <c:v>0.49500000000000033</c:v>
                </c:pt>
                <c:pt idx="99">
                  <c:v>0.50000000000000033</c:v>
                </c:pt>
                <c:pt idx="100">
                  <c:v>0.50500000000000034</c:v>
                </c:pt>
                <c:pt idx="101">
                  <c:v>0.51000000000000034</c:v>
                </c:pt>
                <c:pt idx="102">
                  <c:v>0.51500000000000035</c:v>
                </c:pt>
                <c:pt idx="103">
                  <c:v>0.52000000000000035</c:v>
                </c:pt>
                <c:pt idx="104">
                  <c:v>0.52500000000000036</c:v>
                </c:pt>
                <c:pt idx="105">
                  <c:v>0.53000000000000036</c:v>
                </c:pt>
                <c:pt idx="106">
                  <c:v>0.53500000000000036</c:v>
                </c:pt>
                <c:pt idx="107">
                  <c:v>0.54000000000000037</c:v>
                </c:pt>
                <c:pt idx="108">
                  <c:v>0.54500000000000037</c:v>
                </c:pt>
                <c:pt idx="109">
                  <c:v>0.55000000000000038</c:v>
                </c:pt>
                <c:pt idx="110">
                  <c:v>0.55500000000000038</c:v>
                </c:pt>
                <c:pt idx="111">
                  <c:v>0.56000000000000039</c:v>
                </c:pt>
                <c:pt idx="112">
                  <c:v>0.56500000000000039</c:v>
                </c:pt>
                <c:pt idx="113">
                  <c:v>0.5700000000000004</c:v>
                </c:pt>
                <c:pt idx="114">
                  <c:v>0.5750000000000004</c:v>
                </c:pt>
                <c:pt idx="115">
                  <c:v>0.5800000000000004</c:v>
                </c:pt>
                <c:pt idx="116">
                  <c:v>0.58500000000000041</c:v>
                </c:pt>
                <c:pt idx="117">
                  <c:v>0.59000000000000041</c:v>
                </c:pt>
                <c:pt idx="118">
                  <c:v>0.59500000000000042</c:v>
                </c:pt>
                <c:pt idx="119">
                  <c:v>0.60000000000000042</c:v>
                </c:pt>
                <c:pt idx="120">
                  <c:v>0.60500000000000043</c:v>
                </c:pt>
                <c:pt idx="121">
                  <c:v>0.61000000000000043</c:v>
                </c:pt>
                <c:pt idx="122">
                  <c:v>0.61500000000000044</c:v>
                </c:pt>
                <c:pt idx="123">
                  <c:v>0.62000000000000044</c:v>
                </c:pt>
                <c:pt idx="124">
                  <c:v>0.62500000000000044</c:v>
                </c:pt>
                <c:pt idx="125">
                  <c:v>0.63000000000000045</c:v>
                </c:pt>
                <c:pt idx="126">
                  <c:v>0.63500000000000045</c:v>
                </c:pt>
                <c:pt idx="127">
                  <c:v>0.64000000000000046</c:v>
                </c:pt>
                <c:pt idx="128">
                  <c:v>0.64500000000000046</c:v>
                </c:pt>
                <c:pt idx="129">
                  <c:v>0.65000000000000047</c:v>
                </c:pt>
                <c:pt idx="130">
                  <c:v>0.65500000000000047</c:v>
                </c:pt>
                <c:pt idx="131">
                  <c:v>0.66000000000000048</c:v>
                </c:pt>
                <c:pt idx="132">
                  <c:v>0.66500000000000048</c:v>
                </c:pt>
                <c:pt idx="133">
                  <c:v>0.67000000000000048</c:v>
                </c:pt>
                <c:pt idx="134">
                  <c:v>0.67500000000000049</c:v>
                </c:pt>
                <c:pt idx="135">
                  <c:v>0.68000000000000049</c:v>
                </c:pt>
                <c:pt idx="136">
                  <c:v>0.6850000000000005</c:v>
                </c:pt>
                <c:pt idx="137">
                  <c:v>0.6900000000000005</c:v>
                </c:pt>
                <c:pt idx="138">
                  <c:v>0.69500000000000051</c:v>
                </c:pt>
                <c:pt idx="139">
                  <c:v>0.70000000000000051</c:v>
                </c:pt>
                <c:pt idx="140">
                  <c:v>0.70500000000000052</c:v>
                </c:pt>
                <c:pt idx="141">
                  <c:v>0.71000000000000052</c:v>
                </c:pt>
                <c:pt idx="142">
                  <c:v>0.71500000000000052</c:v>
                </c:pt>
                <c:pt idx="143">
                  <c:v>0.72000000000000053</c:v>
                </c:pt>
                <c:pt idx="144">
                  <c:v>0.72500000000000053</c:v>
                </c:pt>
                <c:pt idx="145">
                  <c:v>0.73000000000000054</c:v>
                </c:pt>
                <c:pt idx="146">
                  <c:v>0.73500000000000054</c:v>
                </c:pt>
                <c:pt idx="147">
                  <c:v>0.74000000000000055</c:v>
                </c:pt>
                <c:pt idx="148">
                  <c:v>0.74500000000000055</c:v>
                </c:pt>
                <c:pt idx="149">
                  <c:v>0.75000000000000056</c:v>
                </c:pt>
                <c:pt idx="150">
                  <c:v>0.75500000000000056</c:v>
                </c:pt>
                <c:pt idx="151">
                  <c:v>0.76000000000000056</c:v>
                </c:pt>
                <c:pt idx="152">
                  <c:v>0.76500000000000057</c:v>
                </c:pt>
                <c:pt idx="153">
                  <c:v>0.77000000000000057</c:v>
                </c:pt>
                <c:pt idx="154">
                  <c:v>0.77500000000000058</c:v>
                </c:pt>
                <c:pt idx="155">
                  <c:v>0.78000000000000058</c:v>
                </c:pt>
                <c:pt idx="156">
                  <c:v>0.78500000000000059</c:v>
                </c:pt>
                <c:pt idx="157">
                  <c:v>0.79000000000000059</c:v>
                </c:pt>
                <c:pt idx="158">
                  <c:v>0.7950000000000006</c:v>
                </c:pt>
                <c:pt idx="159">
                  <c:v>0.8000000000000006</c:v>
                </c:pt>
                <c:pt idx="160">
                  <c:v>0.8050000000000006</c:v>
                </c:pt>
                <c:pt idx="161">
                  <c:v>0.81000000000000061</c:v>
                </c:pt>
                <c:pt idx="162">
                  <c:v>0.81500000000000061</c:v>
                </c:pt>
                <c:pt idx="163">
                  <c:v>0.82000000000000062</c:v>
                </c:pt>
                <c:pt idx="164">
                  <c:v>0.82500000000000062</c:v>
                </c:pt>
                <c:pt idx="165">
                  <c:v>0.83000000000000063</c:v>
                </c:pt>
                <c:pt idx="166">
                  <c:v>0.83500000000000063</c:v>
                </c:pt>
                <c:pt idx="167">
                  <c:v>0.84000000000000064</c:v>
                </c:pt>
                <c:pt idx="168">
                  <c:v>0.84500000000000064</c:v>
                </c:pt>
                <c:pt idx="169">
                  <c:v>0.85000000000000064</c:v>
                </c:pt>
                <c:pt idx="170">
                  <c:v>0.85500000000000065</c:v>
                </c:pt>
                <c:pt idx="171">
                  <c:v>0.86000000000000065</c:v>
                </c:pt>
                <c:pt idx="172">
                  <c:v>0.86500000000000066</c:v>
                </c:pt>
                <c:pt idx="173">
                  <c:v>0.87000000000000066</c:v>
                </c:pt>
                <c:pt idx="174">
                  <c:v>0.87500000000000067</c:v>
                </c:pt>
                <c:pt idx="175">
                  <c:v>0.88000000000000067</c:v>
                </c:pt>
                <c:pt idx="176">
                  <c:v>0.88500000000000068</c:v>
                </c:pt>
                <c:pt idx="177">
                  <c:v>0.89000000000000068</c:v>
                </c:pt>
                <c:pt idx="178">
                  <c:v>0.89500000000000068</c:v>
                </c:pt>
                <c:pt idx="179">
                  <c:v>0.90000000000000069</c:v>
                </c:pt>
                <c:pt idx="180">
                  <c:v>0.90500000000000069</c:v>
                </c:pt>
                <c:pt idx="181">
                  <c:v>0.9100000000000007</c:v>
                </c:pt>
                <c:pt idx="182">
                  <c:v>0.9150000000000007</c:v>
                </c:pt>
                <c:pt idx="183">
                  <c:v>0.92000000000000071</c:v>
                </c:pt>
                <c:pt idx="184">
                  <c:v>0.92500000000000071</c:v>
                </c:pt>
                <c:pt idx="185">
                  <c:v>0.93000000000000071</c:v>
                </c:pt>
                <c:pt idx="186">
                  <c:v>0.93500000000000072</c:v>
                </c:pt>
                <c:pt idx="187">
                  <c:v>0.94000000000000072</c:v>
                </c:pt>
                <c:pt idx="188">
                  <c:v>0.94500000000000073</c:v>
                </c:pt>
                <c:pt idx="189">
                  <c:v>0.95000000000000073</c:v>
                </c:pt>
                <c:pt idx="190">
                  <c:v>0.95500000000000074</c:v>
                </c:pt>
                <c:pt idx="191">
                  <c:v>0.96000000000000074</c:v>
                </c:pt>
                <c:pt idx="192">
                  <c:v>0.96500000000000075</c:v>
                </c:pt>
                <c:pt idx="193">
                  <c:v>0.97000000000000075</c:v>
                </c:pt>
                <c:pt idx="194">
                  <c:v>0.97500000000000075</c:v>
                </c:pt>
                <c:pt idx="195">
                  <c:v>0.98000000000000076</c:v>
                </c:pt>
                <c:pt idx="196">
                  <c:v>0.98500000000000076</c:v>
                </c:pt>
                <c:pt idx="197">
                  <c:v>0.99000000000000077</c:v>
                </c:pt>
                <c:pt idx="198">
                  <c:v>0.99500000000000077</c:v>
                </c:pt>
              </c:numCache>
            </c:numRef>
          </c:xVal>
          <c:yVal>
            <c:numRef>
              <c:f>Sheet1!$J$34:$J$232</c:f>
              <c:numCache>
                <c:formatCode>General</c:formatCode>
                <c:ptCount val="199"/>
                <c:pt idx="0">
                  <c:v>2.8950228880830764E-9</c:v>
                </c:pt>
                <c:pt idx="1">
                  <c:v>3.471831711010509E-10</c:v>
                </c:pt>
                <c:pt idx="2">
                  <c:v>-2.1307395847713906E-9</c:v>
                </c:pt>
                <c:pt idx="3">
                  <c:v>-1.628790879948383E-9</c:v>
                </c:pt>
                <c:pt idx="4">
                  <c:v>1.5786176810195229E-9</c:v>
                </c:pt>
                <c:pt idx="5">
                  <c:v>-2.1164485719538106E-9</c:v>
                </c:pt>
                <c:pt idx="6">
                  <c:v>1.2173231311862764E-9</c:v>
                </c:pt>
                <c:pt idx="7">
                  <c:v>1.6002132952053216E-9</c:v>
                </c:pt>
                <c:pt idx="8">
                  <c:v>-5.8286242499150376E-10</c:v>
                </c:pt>
                <c:pt idx="9">
                  <c:v>-1.818265094044591E-9</c:v>
                </c:pt>
                <c:pt idx="10">
                  <c:v>-1.3649694707851268E-9</c:v>
                </c:pt>
                <c:pt idx="11">
                  <c:v>-7.8380191226301577E-11</c:v>
                </c:pt>
                <c:pt idx="12">
                  <c:v>1.0843193010146024E-9</c:v>
                </c:pt>
                <c:pt idx="13">
                  <c:v>1.6266752389526573E-9</c:v>
                </c:pt>
                <c:pt idx="14">
                  <c:v>1.4989460783709774E-9</c:v>
                </c:pt>
                <c:pt idx="15">
                  <c:v>9.0451268697222531E-10</c:v>
                </c:pt>
                <c:pt idx="16">
                  <c:v>1.1991385662213361E-10</c:v>
                </c:pt>
                <c:pt idx="17">
                  <c:v>-6.1560112563086022E-10</c:v>
                </c:pt>
                <c:pt idx="18">
                  <c:v>-1.1463872073846915E-9</c:v>
                </c:pt>
                <c:pt idx="19">
                  <c:v>-1.4045355989367181E-9</c:v>
                </c:pt>
                <c:pt idx="20">
                  <c:v>-1.3925745001586165E-9</c:v>
                </c:pt>
                <c:pt idx="21">
                  <c:v>-1.1591978488212362E-9</c:v>
                </c:pt>
                <c:pt idx="22">
                  <c:v>-7.7616779670108826E-10</c:v>
                </c:pt>
                <c:pt idx="23">
                  <c:v>-3.2013125483842941E-10</c:v>
                </c:pt>
                <c:pt idx="24">
                  <c:v>1.3969647660871942E-10</c:v>
                </c:pt>
                <c:pt idx="25">
                  <c:v>5.4850790576210784E-10</c:v>
                </c:pt>
                <c:pt idx="26">
                  <c:v>8.6867157911285631E-10</c:v>
                </c:pt>
                <c:pt idx="27">
                  <c:v>1.0795138116748149E-9</c:v>
                </c:pt>
                <c:pt idx="28">
                  <c:v>1.1752596673630933E-9</c:v>
                </c:pt>
                <c:pt idx="29">
                  <c:v>1.1620067130735379E-9</c:v>
                </c:pt>
                <c:pt idx="30">
                  <c:v>1.054391018939782E-9</c:v>
                </c:pt>
                <c:pt idx="31">
                  <c:v>8.7239804269501064E-10</c:v>
                </c:pt>
                <c:pt idx="32">
                  <c:v>6.385121320562348E-10</c:v>
                </c:pt>
                <c:pt idx="33">
                  <c:v>3.7547653874980824E-10</c:v>
                </c:pt>
                <c:pt idx="34">
                  <c:v>1.0451395304755806E-10</c:v>
                </c:pt>
                <c:pt idx="35">
                  <c:v>-1.5586187895877401E-10</c:v>
                </c:pt>
                <c:pt idx="36">
                  <c:v>-3.9057557188471037E-10</c:v>
                </c:pt>
                <c:pt idx="37">
                  <c:v>-5.883120657301788E-10</c:v>
                </c:pt>
                <c:pt idx="38">
                  <c:v>-7.4154493656664044E-10</c:v>
                </c:pt>
                <c:pt idx="39">
                  <c:v>-8.463041378803382E-10</c:v>
                </c:pt>
                <c:pt idx="40">
                  <c:v>-9.0179985701155374E-10</c:v>
                </c:pt>
                <c:pt idx="41">
                  <c:v>-9.0992779977483451E-10</c:v>
                </c:pt>
                <c:pt idx="42">
                  <c:v>-8.747430557676239E-10</c:v>
                </c:pt>
                <c:pt idx="43">
                  <c:v>-8.0190831752702252E-10</c:v>
                </c:pt>
                <c:pt idx="44">
                  <c:v>-6.9817340797584393E-10</c:v>
                </c:pt>
                <c:pt idx="45">
                  <c:v>-5.7089100113927316E-10</c:v>
                </c:pt>
                <c:pt idx="46">
                  <c:v>-4.2759795704228054E-10</c:v>
                </c:pt>
                <c:pt idx="47">
                  <c:v>-2.7565039140142744E-10</c:v>
                </c:pt>
                <c:pt idx="48">
                  <c:v>-1.2193956955286467E-10</c:v>
                </c:pt>
                <c:pt idx="49">
                  <c:v>2.733746562455508E-11</c:v>
                </c:pt>
                <c:pt idx="50">
                  <c:v>1.6683110448667549E-10</c:v>
                </c:pt>
                <c:pt idx="51">
                  <c:v>2.9214042296388243E-10</c:v>
                </c:pt>
                <c:pt idx="52">
                  <c:v>3.9986225441879242E-10</c:v>
                </c:pt>
                <c:pt idx="53">
                  <c:v>4.8759296600309199E-10</c:v>
                </c:pt>
                <c:pt idx="54">
                  <c:v>5.538929315207497E-10</c:v>
                </c:pt>
                <c:pt idx="55">
                  <c:v>5.9822169440337802E-10</c:v>
                </c:pt>
                <c:pt idx="56">
                  <c:v>6.2085392382726923E-10</c:v>
                </c:pt>
                <c:pt idx="57">
                  <c:v>6.2277105694619195E-10</c:v>
                </c:pt>
                <c:pt idx="58">
                  <c:v>6.0555238601267547E-10</c:v>
                </c:pt>
                <c:pt idx="59">
                  <c:v>5.7125348895681327E-10</c:v>
                </c:pt>
                <c:pt idx="60">
                  <c:v>5.222881016564429E-10</c:v>
                </c:pt>
                <c:pt idx="61">
                  <c:v>4.6131287678718991E-10</c:v>
                </c:pt>
                <c:pt idx="62">
                  <c:v>3.9111758276533237E-10</c:v>
                </c:pt>
                <c:pt idx="63">
                  <c:v>3.1452457305292114E-10</c:v>
                </c:pt>
                <c:pt idx="64">
                  <c:v>2.3429913564854132E-10</c:v>
                </c:pt>
                <c:pt idx="65">
                  <c:v>1.5307105583062253E-10</c:v>
                </c:pt>
                <c:pt idx="66">
                  <c:v>7.326977913280075E-11</c:v>
                </c:pt>
                <c:pt idx="67">
                  <c:v>-2.9293234504734755E-12</c:v>
                </c:pt>
                <c:pt idx="68">
                  <c:v>-7.3643979803250659E-11</c:v>
                </c:pt>
                <c:pt idx="69">
                  <c:v>-1.3731354941981522E-10</c:v>
                </c:pt>
                <c:pt idx="70">
                  <c:v>-1.9271423346012284E-10</c:v>
                </c:pt>
                <c:pt idx="71">
                  <c:v>-2.3896445933146993E-10</c:v>
                </c:pt>
                <c:pt idx="72">
                  <c:v>-2.7552005121833645E-10</c:v>
                </c:pt>
                <c:pt idx="73">
                  <c:v>-3.0216046331688062E-10</c:v>
                </c:pt>
                <c:pt idx="74">
                  <c:v>-3.1896840724243702E-10</c:v>
                </c:pt>
                <c:pt idx="75">
                  <c:v>-3.2630204094274973E-10</c:v>
                </c:pt>
                <c:pt idx="76">
                  <c:v>-3.247629942748631E-10</c:v>
                </c:pt>
                <c:pt idx="77">
                  <c:v>-3.1516006471221658E-10</c:v>
                </c:pt>
                <c:pt idx="78">
                  <c:v>-2.9847080362799261E-10</c:v>
                </c:pt>
                <c:pt idx="79">
                  <c:v>-2.7580115968817154E-10</c:v>
                </c:pt>
                <c:pt idx="80">
                  <c:v>-2.4834548306706949E-10</c:v>
                </c:pt>
                <c:pt idx="81">
                  <c:v>-2.1734600230693957E-10</c:v>
                </c:pt>
                <c:pt idx="82">
                  <c:v>-1.8405496571283209E-10</c:v>
                </c:pt>
                <c:pt idx="83">
                  <c:v>-1.4969830930411376E-10</c:v>
                </c:pt>
                <c:pt idx="84">
                  <c:v>-1.1544268319063633E-10</c:v>
                </c:pt>
                <c:pt idx="85">
                  <c:v>-8.2365642084525348E-11</c:v>
                </c:pt>
                <c:pt idx="86">
                  <c:v>-5.1430137926189445E-11</c:v>
                </c:pt>
                <c:pt idx="87">
                  <c:v>-2.3463397891276827E-11</c:v>
                </c:pt>
                <c:pt idx="88">
                  <c:v>8.5975671026972122E-13</c:v>
                </c:pt>
                <c:pt idx="89">
                  <c:v>2.1028984109605631E-11</c:v>
                </c:pt>
                <c:pt idx="90">
                  <c:v>3.6705138928283532E-11</c:v>
                </c:pt>
                <c:pt idx="91">
                  <c:v>4.7722825691209891E-11</c:v>
                </c:pt>
                <c:pt idx="92">
                  <c:v>5.4088095113868917E-11</c:v>
                </c:pt>
                <c:pt idx="93">
                  <c:v>5.5971560719569879E-11</c:v>
                </c:pt>
                <c:pt idx="94">
                  <c:v>5.3697740698410712E-11</c:v>
                </c:pt>
                <c:pt idx="95">
                  <c:v>4.7730437657822478E-11</c:v>
                </c:pt>
                <c:pt idx="96">
                  <c:v>3.8654850154085096E-11</c:v>
                </c:pt>
                <c:pt idx="97">
                  <c:v>2.715683927734247E-11</c:v>
                </c:pt>
                <c:pt idx="98">
                  <c:v>1.3999832543243329E-11</c:v>
                </c:pt>
                <c:pt idx="99">
                  <c:v>-9.4199290781309102E-25</c:v>
                </c:pt>
                <c:pt idx="100">
                  <c:v>-1.3999832543243329E-11</c:v>
                </c:pt>
                <c:pt idx="101">
                  <c:v>-2.715683927734247E-11</c:v>
                </c:pt>
                <c:pt idx="102">
                  <c:v>-3.8654850154085096E-11</c:v>
                </c:pt>
                <c:pt idx="103">
                  <c:v>-4.7730437657822478E-11</c:v>
                </c:pt>
                <c:pt idx="104">
                  <c:v>-5.3697740698410712E-11</c:v>
                </c:pt>
                <c:pt idx="105">
                  <c:v>-5.5971546841782072E-11</c:v>
                </c:pt>
                <c:pt idx="106">
                  <c:v>-5.4088108991656725E-11</c:v>
                </c:pt>
                <c:pt idx="107">
                  <c:v>-4.7722853446785507E-11</c:v>
                </c:pt>
                <c:pt idx="108">
                  <c:v>-3.6705138928283532E-11</c:v>
                </c:pt>
                <c:pt idx="109">
                  <c:v>-2.1028984109605631E-11</c:v>
                </c:pt>
                <c:pt idx="110">
                  <c:v>-8.5978446584533685E-13</c:v>
                </c:pt>
                <c:pt idx="111">
                  <c:v>2.3463425646852443E-11</c:v>
                </c:pt>
                <c:pt idx="112">
                  <c:v>5.143011017061383E-11</c:v>
                </c:pt>
                <c:pt idx="113">
                  <c:v>8.2365614328949732E-11</c:v>
                </c:pt>
                <c:pt idx="114">
                  <c:v>1.1544268319063633E-10</c:v>
                </c:pt>
                <c:pt idx="115">
                  <c:v>1.4969830930411376E-10</c:v>
                </c:pt>
                <c:pt idx="116">
                  <c:v>1.8405496571283209E-10</c:v>
                </c:pt>
                <c:pt idx="117">
                  <c:v>2.1734594679578834E-10</c:v>
                </c:pt>
                <c:pt idx="118">
                  <c:v>2.4834545531149388E-10</c:v>
                </c:pt>
                <c:pt idx="119">
                  <c:v>2.7580121519932277E-10</c:v>
                </c:pt>
                <c:pt idx="120">
                  <c:v>2.9847074811684138E-10</c:v>
                </c:pt>
                <c:pt idx="121">
                  <c:v>3.1516000920106535E-10</c:v>
                </c:pt>
                <c:pt idx="122">
                  <c:v>3.2476293876371187E-10</c:v>
                </c:pt>
                <c:pt idx="123">
                  <c:v>3.263019854315985E-10</c:v>
                </c:pt>
                <c:pt idx="124">
                  <c:v>3.1896835173128579E-10</c:v>
                </c:pt>
                <c:pt idx="125">
                  <c:v>3.0216040780572939E-10</c:v>
                </c:pt>
                <c:pt idx="126">
                  <c:v>2.7551999570718522E-10</c:v>
                </c:pt>
                <c:pt idx="127">
                  <c:v>2.3896445933146993E-10</c:v>
                </c:pt>
                <c:pt idx="128">
                  <c:v>1.9271428897127407E-10</c:v>
                </c:pt>
                <c:pt idx="129">
                  <c:v>1.3731354941981522E-10</c:v>
                </c:pt>
                <c:pt idx="130">
                  <c:v>7.3643924292099427E-11</c:v>
                </c:pt>
                <c:pt idx="131">
                  <c:v>2.9291014058685505E-12</c:v>
                </c:pt>
                <c:pt idx="132">
                  <c:v>-7.326977913280075E-11</c:v>
                </c:pt>
                <c:pt idx="133">
                  <c:v>-1.5307105583062253E-10</c:v>
                </c:pt>
                <c:pt idx="134">
                  <c:v>-2.3429908013739009E-10</c:v>
                </c:pt>
                <c:pt idx="135">
                  <c:v>-3.1452457305292114E-10</c:v>
                </c:pt>
                <c:pt idx="136">
                  <c:v>-3.9111774929878607E-10</c:v>
                </c:pt>
                <c:pt idx="137">
                  <c:v>-4.6131287678718991E-10</c:v>
                </c:pt>
                <c:pt idx="138">
                  <c:v>-5.222881016564429E-10</c:v>
                </c:pt>
                <c:pt idx="139">
                  <c:v>-5.7125337793451081E-10</c:v>
                </c:pt>
                <c:pt idx="140">
                  <c:v>-6.0555238601267547E-10</c:v>
                </c:pt>
                <c:pt idx="141">
                  <c:v>-6.2277105694619195E-10</c:v>
                </c:pt>
                <c:pt idx="142">
                  <c:v>-6.2085381280496676E-10</c:v>
                </c:pt>
                <c:pt idx="143">
                  <c:v>-5.9822191644798295E-10</c:v>
                </c:pt>
                <c:pt idx="144">
                  <c:v>-5.5389282049844724E-10</c:v>
                </c:pt>
                <c:pt idx="145">
                  <c:v>-4.8759296600309199E-10</c:v>
                </c:pt>
                <c:pt idx="146">
                  <c:v>-3.9986236544109488E-10</c:v>
                </c:pt>
                <c:pt idx="147">
                  <c:v>-2.9214031194157997E-10</c:v>
                </c:pt>
                <c:pt idx="148">
                  <c:v>-1.6683099346437302E-10</c:v>
                </c:pt>
                <c:pt idx="149">
                  <c:v>-2.7337687669160005E-11</c:v>
                </c:pt>
                <c:pt idx="150">
                  <c:v>1.2193956955286467E-10</c:v>
                </c:pt>
                <c:pt idx="151">
                  <c:v>2.7565039140142744E-10</c:v>
                </c:pt>
                <c:pt idx="152">
                  <c:v>4.2759740193076823E-10</c:v>
                </c:pt>
                <c:pt idx="153">
                  <c:v>5.7089077909466823E-10</c:v>
                </c:pt>
                <c:pt idx="154">
                  <c:v>6.9817296388663408E-10</c:v>
                </c:pt>
                <c:pt idx="155">
                  <c:v>8.0190842854932498E-10</c:v>
                </c:pt>
                <c:pt idx="156">
                  <c:v>8.7474327781222883E-10</c:v>
                </c:pt>
                <c:pt idx="157">
                  <c:v>9.0992802181943944E-10</c:v>
                </c:pt>
                <c:pt idx="158">
                  <c:v>9.0179919087773897E-10</c:v>
                </c:pt>
                <c:pt idx="159">
                  <c:v>8.4630469299185052E-10</c:v>
                </c:pt>
                <c:pt idx="160">
                  <c:v>7.4154438145512813E-10</c:v>
                </c:pt>
                <c:pt idx="161">
                  <c:v>5.8831328697550589E-10</c:v>
                </c:pt>
                <c:pt idx="162">
                  <c:v>3.905757939293153E-10</c:v>
                </c:pt>
                <c:pt idx="163">
                  <c:v>1.5586298918179864E-10</c:v>
                </c:pt>
                <c:pt idx="164">
                  <c:v>-1.0451339793604575E-10</c:v>
                </c:pt>
                <c:pt idx="165">
                  <c:v>-3.7547920328506734E-10</c:v>
                </c:pt>
                <c:pt idx="166">
                  <c:v>-6.3851257614544465E-10</c:v>
                </c:pt>
                <c:pt idx="167">
                  <c:v>-8.7239526713744908E-10</c:v>
                </c:pt>
                <c:pt idx="168">
                  <c:v>-1.0543943496088559E-9</c:v>
                </c:pt>
                <c:pt idx="169">
                  <c:v>-1.1620084894303773E-9</c:v>
                </c:pt>
                <c:pt idx="170">
                  <c:v>-1.1752603334969081E-9</c:v>
                </c:pt>
                <c:pt idx="171">
                  <c:v>-1.0795138116748149E-9</c:v>
                </c:pt>
                <c:pt idx="172">
                  <c:v>-8.6867069093443661E-10</c:v>
                </c:pt>
                <c:pt idx="173">
                  <c:v>-5.4850768371750291E-10</c:v>
                </c:pt>
                <c:pt idx="174">
                  <c:v>-1.396962545641145E-10</c:v>
                </c:pt>
                <c:pt idx="175">
                  <c:v>3.2012925643698509E-10</c:v>
                </c:pt>
                <c:pt idx="176">
                  <c:v>7.7616690852266856E-10</c:v>
                </c:pt>
                <c:pt idx="177">
                  <c:v>1.1591976267766313E-9</c:v>
                </c:pt>
                <c:pt idx="178">
                  <c:v>1.3925725017571722E-9</c:v>
                </c:pt>
                <c:pt idx="179">
                  <c:v>1.4045333784906688E-9</c:v>
                </c:pt>
                <c:pt idx="180">
                  <c:v>1.1463894278307407E-9</c:v>
                </c:pt>
                <c:pt idx="181">
                  <c:v>6.1560112563086022E-10</c:v>
                </c:pt>
                <c:pt idx="182">
                  <c:v>-1.1991074799766466E-10</c:v>
                </c:pt>
                <c:pt idx="183">
                  <c:v>-9.0451179879380561E-10</c:v>
                </c:pt>
                <c:pt idx="184">
                  <c:v>-1.4989445240587429E-9</c:v>
                </c:pt>
                <c:pt idx="185">
                  <c:v>-1.6266699098821391E-9</c:v>
                </c:pt>
                <c:pt idx="186">
                  <c:v>-1.0843244080405157E-9</c:v>
                </c:pt>
                <c:pt idx="187">
                  <c:v>7.8391959590362603E-11</c:v>
                </c:pt>
                <c:pt idx="188">
                  <c:v>1.3649863461751011E-9</c:v>
                </c:pt>
                <c:pt idx="189">
                  <c:v>1.8182895189511328E-9</c:v>
                </c:pt>
                <c:pt idx="190">
                  <c:v>5.8287930038147806E-10</c:v>
                </c:pt>
                <c:pt idx="191">
                  <c:v>-1.6002308367291107E-9</c:v>
                </c:pt>
                <c:pt idx="192">
                  <c:v>-1.2173515528957068E-9</c:v>
                </c:pt>
                <c:pt idx="193">
                  <c:v>2.1164190400213556E-9</c:v>
                </c:pt>
                <c:pt idx="194">
                  <c:v>-1.5786449925059287E-9</c:v>
                </c:pt>
                <c:pt idx="195">
                  <c:v>1.6287913240375929E-9</c:v>
                </c:pt>
                <c:pt idx="196">
                  <c:v>2.1307395847713906E-9</c:v>
                </c:pt>
                <c:pt idx="197">
                  <c:v>-3.471840592794706E-10</c:v>
                </c:pt>
                <c:pt idx="198">
                  <c:v>-2.8950224439938665E-9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5E-4FA7-9451-278D8B58FA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1790928"/>
        <c:axId val="1361791344"/>
      </c:scatterChart>
      <c:valAx>
        <c:axId val="1361790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1791344"/>
        <c:crosses val="autoZero"/>
        <c:crossBetween val="midCat"/>
      </c:valAx>
      <c:valAx>
        <c:axId val="1361791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1790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449580</xdr:colOff>
      <xdr:row>32</xdr:row>
      <xdr:rowOff>167640</xdr:rowOff>
    </xdr:from>
    <xdr:to>
      <xdr:col>18</xdr:col>
      <xdr:colOff>144780</xdr:colOff>
      <xdr:row>47</xdr:row>
      <xdr:rowOff>167640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46C160D-842D-44B4-B41A-F95AECEA6C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tackedboxes.org/2017/05/01/acklams-normal-quantile-function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7667C-FD8E-45E3-9203-B0312F8CD8E0}">
  <sheetPr codeName="Sheet1"/>
  <dimension ref="B1:J232"/>
  <sheetViews>
    <sheetView tabSelected="1" topLeftCell="A19" workbookViewId="0">
      <selection activeCell="G29" sqref="G29"/>
    </sheetView>
  </sheetViews>
  <sheetFormatPr defaultRowHeight="14.4" x14ac:dyDescent="0.3"/>
  <cols>
    <col min="4" max="4" width="9.6640625" customWidth="1"/>
    <col min="5" max="5" width="9.21875" customWidth="1"/>
    <col min="6" max="6" width="10.21875" customWidth="1"/>
    <col min="7" max="7" width="12.88671875" customWidth="1"/>
    <col min="10" max="10" width="12" bestFit="1" customWidth="1"/>
  </cols>
  <sheetData>
    <row r="1" spans="2:5" x14ac:dyDescent="0.3">
      <c r="B1" t="s">
        <v>27</v>
      </c>
      <c r="C1" s="4">
        <v>1E-3</v>
      </c>
      <c r="E1" t="s">
        <v>28</v>
      </c>
    </row>
    <row r="2" spans="2:5" x14ac:dyDescent="0.3">
      <c r="E2" s="3" t="s">
        <v>29</v>
      </c>
    </row>
    <row r="3" spans="2:5" x14ac:dyDescent="0.3">
      <c r="B3" t="s">
        <v>0</v>
      </c>
      <c r="C3">
        <v>-39.6968302866538</v>
      </c>
    </row>
    <row r="4" spans="2:5" x14ac:dyDescent="0.3">
      <c r="B4" t="s">
        <v>1</v>
      </c>
      <c r="C4">
        <v>220.94609842452101</v>
      </c>
    </row>
    <row r="5" spans="2:5" x14ac:dyDescent="0.3">
      <c r="B5" t="s">
        <v>2</v>
      </c>
      <c r="C5">
        <v>-275.92851044696903</v>
      </c>
    </row>
    <row r="6" spans="2:5" x14ac:dyDescent="0.3">
      <c r="B6" t="s">
        <v>3</v>
      </c>
      <c r="C6">
        <v>138.357751867269</v>
      </c>
    </row>
    <row r="7" spans="2:5" x14ac:dyDescent="0.3">
      <c r="B7" t="s">
        <v>4</v>
      </c>
      <c r="C7">
        <v>-30.664798066147199</v>
      </c>
    </row>
    <row r="8" spans="2:5" x14ac:dyDescent="0.3">
      <c r="B8" t="s">
        <v>5</v>
      </c>
      <c r="C8">
        <v>2.5066282774592401</v>
      </c>
    </row>
    <row r="9" spans="2:5" x14ac:dyDescent="0.3">
      <c r="B9" t="s">
        <v>6</v>
      </c>
      <c r="C9">
        <v>-54.476098798224101</v>
      </c>
    </row>
    <row r="10" spans="2:5" x14ac:dyDescent="0.3">
      <c r="B10" t="s">
        <v>7</v>
      </c>
      <c r="C10">
        <v>161.58583685804101</v>
      </c>
    </row>
    <row r="11" spans="2:5" x14ac:dyDescent="0.3">
      <c r="B11" t="s">
        <v>8</v>
      </c>
      <c r="C11">
        <v>-155.698979859887</v>
      </c>
    </row>
    <row r="12" spans="2:5" x14ac:dyDescent="0.3">
      <c r="B12" t="s">
        <v>9</v>
      </c>
      <c r="C12">
        <v>66.801311887719706</v>
      </c>
    </row>
    <row r="13" spans="2:5" x14ac:dyDescent="0.3">
      <c r="B13" t="s">
        <v>10</v>
      </c>
      <c r="C13">
        <v>-13.280681552885699</v>
      </c>
    </row>
    <row r="14" spans="2:5" x14ac:dyDescent="0.3">
      <c r="B14" t="s">
        <v>11</v>
      </c>
      <c r="C14" s="1">
        <v>-7.78489400243029E-3</v>
      </c>
    </row>
    <row r="15" spans="2:5" x14ac:dyDescent="0.3">
      <c r="B15" t="s">
        <v>12</v>
      </c>
      <c r="C15">
        <v>-0.32239645804113598</v>
      </c>
    </row>
    <row r="16" spans="2:5" x14ac:dyDescent="0.3">
      <c r="B16" t="s">
        <v>13</v>
      </c>
      <c r="C16">
        <v>-2.4007582771618399</v>
      </c>
    </row>
    <row r="17" spans="2:6" x14ac:dyDescent="0.3">
      <c r="B17" t="s">
        <v>14</v>
      </c>
      <c r="C17">
        <v>-2.5497325393437298</v>
      </c>
    </row>
    <row r="18" spans="2:6" x14ac:dyDescent="0.3">
      <c r="B18" t="s">
        <v>15</v>
      </c>
      <c r="C18">
        <v>4.3746641414649696</v>
      </c>
    </row>
    <row r="19" spans="2:6" x14ac:dyDescent="0.3">
      <c r="B19" t="s">
        <v>16</v>
      </c>
      <c r="C19">
        <v>2.93816398269878</v>
      </c>
    </row>
    <row r="20" spans="2:6" x14ac:dyDescent="0.3">
      <c r="B20" t="s">
        <v>17</v>
      </c>
      <c r="C20" s="1">
        <v>7.7846957090414604E-3</v>
      </c>
    </row>
    <row r="21" spans="2:6" x14ac:dyDescent="0.3">
      <c r="B21" t="s">
        <v>18</v>
      </c>
      <c r="C21">
        <v>0.32246712907003999</v>
      </c>
    </row>
    <row r="22" spans="2:6" x14ac:dyDescent="0.3">
      <c r="B22" t="s">
        <v>19</v>
      </c>
      <c r="C22">
        <v>2.445134137143</v>
      </c>
    </row>
    <row r="23" spans="2:6" x14ac:dyDescent="0.3">
      <c r="B23" t="s">
        <v>20</v>
      </c>
      <c r="C23">
        <v>3.7544086619074202</v>
      </c>
    </row>
    <row r="24" spans="2:6" x14ac:dyDescent="0.3">
      <c r="B24" t="s">
        <v>23</v>
      </c>
      <c r="C24">
        <v>2.4250000000000001E-2</v>
      </c>
    </row>
    <row r="25" spans="2:6" x14ac:dyDescent="0.3">
      <c r="B25" t="s">
        <v>24</v>
      </c>
      <c r="C25">
        <f>1-C24</f>
        <v>0.97575000000000001</v>
      </c>
    </row>
    <row r="26" spans="2:6" x14ac:dyDescent="0.3">
      <c r="D26" s="2" t="s">
        <v>23</v>
      </c>
      <c r="E26" s="2" t="s">
        <v>25</v>
      </c>
    </row>
    <row r="27" spans="2:6" x14ac:dyDescent="0.3">
      <c r="B27" t="s">
        <v>21</v>
      </c>
      <c r="D27">
        <f>SQRT(-2 * LN(C1))</f>
        <v>3.7169221888498383</v>
      </c>
      <c r="E27">
        <f>C1-0.5</f>
        <v>-0.499</v>
      </c>
      <c r="F27">
        <f>SQRT(-2*LN(1 - C1))</f>
        <v>4.4732545949979961E-2</v>
      </c>
    </row>
    <row r="28" spans="2:6" x14ac:dyDescent="0.3">
      <c r="B28" t="s">
        <v>22</v>
      </c>
      <c r="E28">
        <f>E27*E27</f>
        <v>0.249001</v>
      </c>
    </row>
    <row r="29" spans="2:6" x14ac:dyDescent="0.3">
      <c r="D29" s="1">
        <f>(((((C14 * D27 +C15) * D27 + C16) * D27 + C17) * D27 + C18) * D27 + C19) / ((((C20 * D27 + C21) * D27 + C22) * D27 + C23) * D27 + 1)</f>
        <v>-3.0902323047094002</v>
      </c>
      <c r="E29" s="2">
        <f xml:space="preserve"> (((((C3 * E28 + C4) * E28 + C5) * E28 + C6) * E28 + C7) * E28 + C8) * E27/(((((C9 * E28 + C10) * E28 + C11) * E28 + C12) * E28 + C13) * E28 + 1)</f>
        <v>-2.9955138424149297</v>
      </c>
      <c r="F29" s="1">
        <f>-(((((C14 * F27 +C15) * F27 + C16) * F27 + C17) * F27 + C18) * F27 + C19) / ((((C20 * F27 + C21) * F27 + C22) * F27 + C23) * F27 + 1)</f>
        <v>-2.6674283325957817</v>
      </c>
    </row>
    <row r="30" spans="2:6" x14ac:dyDescent="0.3">
      <c r="B30" t="s">
        <v>30</v>
      </c>
      <c r="C30" s="5">
        <f>IF(C1&lt;C24,D29,IF(C1&lt;C25,E29,F29))</f>
        <v>-3.0902323047094002</v>
      </c>
    </row>
    <row r="31" spans="2:6" x14ac:dyDescent="0.3">
      <c r="B31" t="s">
        <v>26</v>
      </c>
      <c r="C31">
        <f>NORMSINV(C1)</f>
        <v>-3.0902323061678132</v>
      </c>
    </row>
    <row r="32" spans="2:6" x14ac:dyDescent="0.3">
      <c r="B32" t="s">
        <v>31</v>
      </c>
      <c r="C32" cm="1">
        <f t="array" ref="C32">mynormsinv(C1)</f>
        <v>-3.0902323047094002</v>
      </c>
    </row>
    <row r="33" spans="4:10" x14ac:dyDescent="0.3">
      <c r="I33" t="s">
        <v>33</v>
      </c>
      <c r="J33" t="s">
        <v>32</v>
      </c>
    </row>
    <row r="34" spans="4:10" x14ac:dyDescent="0.3">
      <c r="D34">
        <v>5.0000000000000001E-3</v>
      </c>
      <c r="E34">
        <f>NORMSINV(D34)</f>
        <v>-2.5758293035488999</v>
      </c>
      <c r="F34" cm="1">
        <f t="array" ref="F34">mynormsinv(D34)</f>
        <v>-2.5758293064439228</v>
      </c>
      <c r="I34">
        <f>D34</f>
        <v>5.0000000000000001E-3</v>
      </c>
      <c r="J34">
        <f>E34-F34</f>
        <v>2.8950228880830764E-9</v>
      </c>
    </row>
    <row r="35" spans="4:10" x14ac:dyDescent="0.3">
      <c r="D35">
        <f>D34+0.005</f>
        <v>0.01</v>
      </c>
      <c r="E35">
        <f t="shared" ref="E35:E98" si="0">NORMSINV(D35)</f>
        <v>-2.3263478740408408</v>
      </c>
      <c r="F35" cm="1">
        <f t="array" ref="F35">mynormsinv(D35)</f>
        <v>-2.3263478743880239</v>
      </c>
      <c r="I35">
        <f t="shared" ref="I35:I98" si="1">D35</f>
        <v>0.01</v>
      </c>
      <c r="J35">
        <f t="shared" ref="J35:J98" si="2">E35-F35</f>
        <v>3.471831711010509E-10</v>
      </c>
    </row>
    <row r="36" spans="4:10" x14ac:dyDescent="0.3">
      <c r="D36">
        <f t="shared" ref="D36:D99" si="3">D35+0.005</f>
        <v>1.4999999999999999E-2</v>
      </c>
      <c r="E36">
        <f t="shared" si="0"/>
        <v>-2.1700903775845601</v>
      </c>
      <c r="F36" cm="1">
        <f t="array" ref="F36">mynormsinv(D36)</f>
        <v>-2.1700903754538206</v>
      </c>
      <c r="I36">
        <f t="shared" si="1"/>
        <v>1.4999999999999999E-2</v>
      </c>
      <c r="J36">
        <f t="shared" si="2"/>
        <v>-2.1307395847713906E-9</v>
      </c>
    </row>
    <row r="37" spans="4:10" x14ac:dyDescent="0.3">
      <c r="D37">
        <f t="shared" si="3"/>
        <v>0.02</v>
      </c>
      <c r="E37">
        <f t="shared" si="0"/>
        <v>-2.0537489106318225</v>
      </c>
      <c r="F37" cm="1">
        <f t="array" ref="F37">mynormsinv(D37)</f>
        <v>-2.0537489090030316</v>
      </c>
      <c r="I37">
        <f t="shared" si="1"/>
        <v>0.02</v>
      </c>
      <c r="J37">
        <f t="shared" si="2"/>
        <v>-1.628790879948383E-9</v>
      </c>
    </row>
    <row r="38" spans="4:10" x14ac:dyDescent="0.3">
      <c r="D38">
        <f t="shared" si="3"/>
        <v>2.5000000000000001E-2</v>
      </c>
      <c r="E38">
        <f t="shared" si="0"/>
        <v>-1.9599639845400538</v>
      </c>
      <c r="F38" cm="1">
        <f t="array" ref="F38">mynormsinv(D38)</f>
        <v>-1.9599639861186715</v>
      </c>
      <c r="I38">
        <f t="shared" si="1"/>
        <v>2.5000000000000001E-2</v>
      </c>
      <c r="J38">
        <f t="shared" si="2"/>
        <v>1.5786176810195229E-9</v>
      </c>
    </row>
    <row r="39" spans="4:10" x14ac:dyDescent="0.3">
      <c r="D39">
        <f t="shared" si="3"/>
        <v>3.0000000000000002E-2</v>
      </c>
      <c r="E39">
        <f t="shared" si="0"/>
        <v>-1.8807936081512509</v>
      </c>
      <c r="F39" cm="1">
        <f t="array" ref="F39">mynormsinv(D39)</f>
        <v>-1.8807936060348023</v>
      </c>
      <c r="I39">
        <f t="shared" si="1"/>
        <v>3.0000000000000002E-2</v>
      </c>
      <c r="J39">
        <f t="shared" si="2"/>
        <v>-2.1164485719538106E-9</v>
      </c>
    </row>
    <row r="40" spans="4:10" x14ac:dyDescent="0.3">
      <c r="D40">
        <f t="shared" si="3"/>
        <v>3.5000000000000003E-2</v>
      </c>
      <c r="E40">
        <f t="shared" si="0"/>
        <v>-1.8119106729525978</v>
      </c>
      <c r="F40" cm="1">
        <f t="array" ref="F40">mynormsinv(D40)</f>
        <v>-1.8119106741699209</v>
      </c>
      <c r="I40">
        <f t="shared" si="1"/>
        <v>3.5000000000000003E-2</v>
      </c>
      <c r="J40">
        <f t="shared" si="2"/>
        <v>1.2173231311862764E-9</v>
      </c>
    </row>
    <row r="41" spans="4:10" x14ac:dyDescent="0.3">
      <c r="D41">
        <f t="shared" si="3"/>
        <v>0.04</v>
      </c>
      <c r="E41">
        <f t="shared" si="0"/>
        <v>-1.7506860712521695</v>
      </c>
      <c r="F41" cm="1">
        <f t="array" ref="F41">mynormsinv(D41)</f>
        <v>-1.7506860728523828</v>
      </c>
      <c r="I41">
        <f t="shared" si="1"/>
        <v>0.04</v>
      </c>
      <c r="J41">
        <f t="shared" si="2"/>
        <v>1.6002132952053216E-9</v>
      </c>
    </row>
    <row r="42" spans="4:10" x14ac:dyDescent="0.3">
      <c r="D42">
        <f t="shared" si="3"/>
        <v>4.4999999999999998E-2</v>
      </c>
      <c r="E42">
        <f t="shared" si="0"/>
        <v>-1.6953977102721358</v>
      </c>
      <c r="F42" cm="1">
        <f t="array" ref="F42">mynormsinv(D42)</f>
        <v>-1.6953977096892734</v>
      </c>
      <c r="I42">
        <f t="shared" si="1"/>
        <v>4.4999999999999998E-2</v>
      </c>
      <c r="J42">
        <f t="shared" si="2"/>
        <v>-5.8286242499150376E-10</v>
      </c>
    </row>
    <row r="43" spans="4:10" x14ac:dyDescent="0.3">
      <c r="D43">
        <f t="shared" si="3"/>
        <v>4.9999999999999996E-2</v>
      </c>
      <c r="E43">
        <f t="shared" si="0"/>
        <v>-1.6448536269514726</v>
      </c>
      <c r="F43" cm="1">
        <f t="array" ref="F43">mynormsinv(D43)</f>
        <v>-1.6448536251332075</v>
      </c>
      <c r="I43">
        <f t="shared" si="1"/>
        <v>4.9999999999999996E-2</v>
      </c>
      <c r="J43">
        <f t="shared" si="2"/>
        <v>-1.818265094044591E-9</v>
      </c>
    </row>
    <row r="44" spans="4:10" x14ac:dyDescent="0.3">
      <c r="D44">
        <f t="shared" si="3"/>
        <v>5.4999999999999993E-2</v>
      </c>
      <c r="E44">
        <f t="shared" si="0"/>
        <v>-1.5981931399228173</v>
      </c>
      <c r="F44" cm="1">
        <f t="array" ref="F44">mynormsinv(D44)</f>
        <v>-1.5981931385578478</v>
      </c>
      <c r="I44">
        <f t="shared" si="1"/>
        <v>5.4999999999999993E-2</v>
      </c>
      <c r="J44">
        <f t="shared" si="2"/>
        <v>-1.3649694707851268E-9</v>
      </c>
    </row>
    <row r="45" spans="4:10" x14ac:dyDescent="0.3">
      <c r="D45">
        <f t="shared" si="3"/>
        <v>5.9999999999999991E-2</v>
      </c>
      <c r="E45">
        <f t="shared" si="0"/>
        <v>-1.554773594596853</v>
      </c>
      <c r="F45" cm="1">
        <f t="array" ref="F45">mynormsinv(D45)</f>
        <v>-1.5547735945184729</v>
      </c>
      <c r="I45">
        <f t="shared" si="1"/>
        <v>5.9999999999999991E-2</v>
      </c>
      <c r="J45">
        <f t="shared" si="2"/>
        <v>-7.8380191226301577E-11</v>
      </c>
    </row>
    <row r="46" spans="4:10" x14ac:dyDescent="0.3">
      <c r="D46">
        <f t="shared" si="3"/>
        <v>6.4999999999999988E-2</v>
      </c>
      <c r="E46">
        <f t="shared" si="0"/>
        <v>-1.5141018876192833</v>
      </c>
      <c r="F46" cm="1">
        <f t="array" ref="F46">mynormsinv(D46)</f>
        <v>-1.5141018887036026</v>
      </c>
      <c r="I46">
        <f t="shared" si="1"/>
        <v>6.4999999999999988E-2</v>
      </c>
      <c r="J46">
        <f t="shared" si="2"/>
        <v>1.0843193010146024E-9</v>
      </c>
    </row>
    <row r="47" spans="4:10" x14ac:dyDescent="0.3">
      <c r="D47">
        <f t="shared" si="3"/>
        <v>6.9999999999999993E-2</v>
      </c>
      <c r="E47">
        <f t="shared" si="0"/>
        <v>-1.4757910281791706</v>
      </c>
      <c r="F47" cm="1">
        <f t="array" ref="F47">mynormsinv(D47)</f>
        <v>-1.4757910298058459</v>
      </c>
      <c r="I47">
        <f t="shared" si="1"/>
        <v>6.9999999999999993E-2</v>
      </c>
      <c r="J47">
        <f t="shared" si="2"/>
        <v>1.6266752389526573E-9</v>
      </c>
    </row>
    <row r="48" spans="4:10" x14ac:dyDescent="0.3">
      <c r="D48">
        <f t="shared" si="3"/>
        <v>7.4999999999999997E-2</v>
      </c>
      <c r="E48">
        <f t="shared" si="0"/>
        <v>-1.4395314709384572</v>
      </c>
      <c r="F48" cm="1">
        <f t="array" ref="F48">mynormsinv(D48)</f>
        <v>-1.4395314724374033</v>
      </c>
      <c r="I48">
        <f t="shared" si="1"/>
        <v>7.4999999999999997E-2</v>
      </c>
      <c r="J48">
        <f t="shared" si="2"/>
        <v>1.4989460783709774E-9</v>
      </c>
    </row>
    <row r="49" spans="4:10" x14ac:dyDescent="0.3">
      <c r="D49">
        <f t="shared" si="3"/>
        <v>0.08</v>
      </c>
      <c r="E49">
        <f t="shared" si="0"/>
        <v>-1.4050715603096353</v>
      </c>
      <c r="F49" cm="1">
        <f t="array" ref="F49">mynormsinv(D49)</f>
        <v>-1.405071561214148</v>
      </c>
      <c r="I49">
        <f t="shared" si="1"/>
        <v>0.08</v>
      </c>
      <c r="J49">
        <f t="shared" si="2"/>
        <v>9.0451268697222531E-10</v>
      </c>
    </row>
    <row r="50" spans="4:10" x14ac:dyDescent="0.3">
      <c r="D50">
        <f t="shared" si="3"/>
        <v>8.5000000000000006E-2</v>
      </c>
      <c r="E50">
        <f t="shared" si="0"/>
        <v>-1.3722038089987272</v>
      </c>
      <c r="F50" cm="1">
        <f t="array" ref="F50">mynormsinv(D50)</f>
        <v>-1.372203809118641</v>
      </c>
      <c r="I50">
        <f t="shared" si="1"/>
        <v>8.5000000000000006E-2</v>
      </c>
      <c r="J50">
        <f t="shared" si="2"/>
        <v>1.1991385662213361E-10</v>
      </c>
    </row>
    <row r="51" spans="4:10" x14ac:dyDescent="0.3">
      <c r="D51">
        <f t="shared" si="3"/>
        <v>9.0000000000000011E-2</v>
      </c>
      <c r="E51">
        <f t="shared" si="0"/>
        <v>-1.3407550336902159</v>
      </c>
      <c r="F51" cm="1">
        <f t="array" ref="F51">mynormsinv(D51)</f>
        <v>-1.3407550330746147</v>
      </c>
      <c r="I51">
        <f t="shared" si="1"/>
        <v>9.0000000000000011E-2</v>
      </c>
      <c r="J51">
        <f t="shared" si="2"/>
        <v>-6.1560112563086022E-10</v>
      </c>
    </row>
    <row r="52" spans="4:10" x14ac:dyDescent="0.3">
      <c r="D52">
        <f t="shared" si="3"/>
        <v>9.5000000000000015E-2</v>
      </c>
      <c r="E52">
        <f t="shared" si="0"/>
        <v>-1.3105791121681289</v>
      </c>
      <c r="F52" cm="1">
        <f t="array" ref="F52">mynormsinv(D52)</f>
        <v>-1.3105791110217417</v>
      </c>
      <c r="I52">
        <f t="shared" si="1"/>
        <v>9.5000000000000015E-2</v>
      </c>
      <c r="J52">
        <f t="shared" si="2"/>
        <v>-1.1463872073846915E-9</v>
      </c>
    </row>
    <row r="53" spans="4:10" x14ac:dyDescent="0.3">
      <c r="D53">
        <f t="shared" si="3"/>
        <v>0.10000000000000002</v>
      </c>
      <c r="E53">
        <f t="shared" si="0"/>
        <v>-1.2815515655446008</v>
      </c>
      <c r="F53" cm="1">
        <f t="array" ref="F53">mynormsinv(D53)</f>
        <v>-1.2815515641400652</v>
      </c>
      <c r="I53">
        <f t="shared" si="1"/>
        <v>0.10000000000000002</v>
      </c>
      <c r="J53">
        <f t="shared" si="2"/>
        <v>-1.4045355989367181E-9</v>
      </c>
    </row>
    <row r="54" spans="4:10" x14ac:dyDescent="0.3">
      <c r="D54">
        <f t="shared" si="3"/>
        <v>0.10500000000000002</v>
      </c>
      <c r="E54">
        <f t="shared" si="0"/>
        <v>-1.2535654384704511</v>
      </c>
      <c r="F54" cm="1">
        <f t="array" ref="F54">mynormsinv(D54)</f>
        <v>-1.2535654370778766</v>
      </c>
      <c r="I54">
        <f t="shared" si="1"/>
        <v>0.10500000000000002</v>
      </c>
      <c r="J54">
        <f t="shared" si="2"/>
        <v>-1.3925745001586165E-9</v>
      </c>
    </row>
    <row r="55" spans="4:10" x14ac:dyDescent="0.3">
      <c r="D55">
        <f t="shared" si="3"/>
        <v>0.11000000000000003</v>
      </c>
      <c r="E55">
        <f t="shared" si="0"/>
        <v>-1.2265281200366096</v>
      </c>
      <c r="F55" cm="1">
        <f t="array" ref="F55">mynormsinv(D55)</f>
        <v>-1.2265281188774118</v>
      </c>
      <c r="I55">
        <f t="shared" si="1"/>
        <v>0.11000000000000003</v>
      </c>
      <c r="J55">
        <f t="shared" si="2"/>
        <v>-1.1591978488212362E-9</v>
      </c>
    </row>
    <row r="56" spans="4:10" x14ac:dyDescent="0.3">
      <c r="D56">
        <f t="shared" si="3"/>
        <v>0.11500000000000003</v>
      </c>
      <c r="E56">
        <f t="shared" si="0"/>
        <v>-1.2003588580308595</v>
      </c>
      <c r="F56" cm="1">
        <f t="array" ref="F56">mynormsinv(D56)</f>
        <v>-1.2003588572546917</v>
      </c>
      <c r="I56">
        <f t="shared" si="1"/>
        <v>0.11500000000000003</v>
      </c>
      <c r="J56">
        <f t="shared" si="2"/>
        <v>-7.7616779670108826E-10</v>
      </c>
    </row>
    <row r="57" spans="4:10" x14ac:dyDescent="0.3">
      <c r="D57">
        <f t="shared" si="3"/>
        <v>0.12000000000000004</v>
      </c>
      <c r="E57">
        <f t="shared" si="0"/>
        <v>-1.1749867920660897</v>
      </c>
      <c r="F57" cm="1">
        <f t="array" ref="F57">mynormsinv(D57)</f>
        <v>-1.1749867917459584</v>
      </c>
      <c r="I57">
        <f t="shared" si="1"/>
        <v>0.12000000000000004</v>
      </c>
      <c r="J57">
        <f t="shared" si="2"/>
        <v>-3.2013125483842941E-10</v>
      </c>
    </row>
    <row r="58" spans="4:10" x14ac:dyDescent="0.3">
      <c r="D58">
        <f t="shared" si="3"/>
        <v>0.12500000000000003</v>
      </c>
      <c r="E58">
        <f t="shared" si="0"/>
        <v>-1.1503493803760083</v>
      </c>
      <c r="F58" cm="1">
        <f t="array" ref="F58">mynormsinv(D58)</f>
        <v>-1.1503493805157048</v>
      </c>
      <c r="I58">
        <f t="shared" si="1"/>
        <v>0.12500000000000003</v>
      </c>
      <c r="J58">
        <f t="shared" si="2"/>
        <v>1.3969647660871942E-10</v>
      </c>
    </row>
    <row r="59" spans="4:10" x14ac:dyDescent="0.3">
      <c r="D59">
        <f t="shared" si="3"/>
        <v>0.13000000000000003</v>
      </c>
      <c r="E59">
        <f t="shared" si="0"/>
        <v>-1.1263911290388013</v>
      </c>
      <c r="F59" cm="1">
        <f t="array" ref="F59">mynormsinv(D59)</f>
        <v>-1.1263911295873092</v>
      </c>
      <c r="I59">
        <f t="shared" si="1"/>
        <v>0.13000000000000003</v>
      </c>
      <c r="J59">
        <f t="shared" si="2"/>
        <v>5.4850790576210784E-10</v>
      </c>
    </row>
    <row r="60" spans="4:10" x14ac:dyDescent="0.3">
      <c r="D60">
        <f t="shared" si="3"/>
        <v>0.13500000000000004</v>
      </c>
      <c r="E60">
        <f t="shared" si="0"/>
        <v>-1.1030625561995977</v>
      </c>
      <c r="F60" cm="1">
        <f t="array" ref="F60">mynormsinv(D60)</f>
        <v>-1.1030625570682693</v>
      </c>
      <c r="I60">
        <f t="shared" si="1"/>
        <v>0.13500000000000004</v>
      </c>
      <c r="J60">
        <f t="shared" si="2"/>
        <v>8.6867157911285631E-10</v>
      </c>
    </row>
    <row r="61" spans="4:10" x14ac:dyDescent="0.3">
      <c r="D61">
        <f t="shared" si="3"/>
        <v>0.14000000000000004</v>
      </c>
      <c r="E61">
        <f t="shared" si="0"/>
        <v>-1.0803193408149565</v>
      </c>
      <c r="F61" cm="1">
        <f t="array" ref="F61">mynormsinv(D61)</f>
        <v>-1.0803193418944703</v>
      </c>
      <c r="I61">
        <f t="shared" si="1"/>
        <v>0.14000000000000004</v>
      </c>
      <c r="J61">
        <f t="shared" si="2"/>
        <v>1.0795138116748149E-9</v>
      </c>
    </row>
    <row r="62" spans="4:10" x14ac:dyDescent="0.3">
      <c r="D62">
        <f t="shared" si="3"/>
        <v>0.14500000000000005</v>
      </c>
      <c r="E62">
        <f t="shared" si="0"/>
        <v>-1.058121617684777</v>
      </c>
      <c r="F62" cm="1">
        <f t="array" ref="F62">mynormsinv(D62)</f>
        <v>-1.0581216188600366</v>
      </c>
      <c r="I62">
        <f t="shared" si="1"/>
        <v>0.14500000000000005</v>
      </c>
      <c r="J62">
        <f t="shared" si="2"/>
        <v>1.1752596673630933E-9</v>
      </c>
    </row>
    <row r="63" spans="4:10" x14ac:dyDescent="0.3">
      <c r="D63">
        <f t="shared" si="3"/>
        <v>0.15000000000000005</v>
      </c>
      <c r="E63">
        <f t="shared" si="0"/>
        <v>-1.0364333894937898</v>
      </c>
      <c r="F63" cm="1">
        <f t="array" ref="F63">mynormsinv(D63)</f>
        <v>-1.0364333906557965</v>
      </c>
      <c r="I63">
        <f t="shared" si="1"/>
        <v>0.15000000000000005</v>
      </c>
      <c r="J63">
        <f t="shared" si="2"/>
        <v>1.1620067130735379E-9</v>
      </c>
    </row>
    <row r="64" spans="4:10" x14ac:dyDescent="0.3">
      <c r="D64">
        <f t="shared" si="3"/>
        <v>0.15500000000000005</v>
      </c>
      <c r="E64">
        <f t="shared" si="0"/>
        <v>-1.0152220332170301</v>
      </c>
      <c r="F64" cm="1">
        <f t="array" ref="F64">mynormsinv(D64)</f>
        <v>-1.0152220342714211</v>
      </c>
      <c r="I64">
        <f t="shared" si="1"/>
        <v>0.15500000000000005</v>
      </c>
      <c r="J64">
        <f t="shared" si="2"/>
        <v>1.054391018939782E-9</v>
      </c>
    </row>
    <row r="65" spans="4:10" x14ac:dyDescent="0.3">
      <c r="D65">
        <f t="shared" si="3"/>
        <v>0.16000000000000006</v>
      </c>
      <c r="E65">
        <f t="shared" si="0"/>
        <v>-0.9944578832097497</v>
      </c>
      <c r="F65" cm="1">
        <f t="array" ref="F65">mynormsinv(D65)</f>
        <v>-0.99445788408214775</v>
      </c>
      <c r="I65">
        <f t="shared" si="1"/>
        <v>0.16000000000000006</v>
      </c>
      <c r="J65">
        <f t="shared" si="2"/>
        <v>8.7239804269501064E-10</v>
      </c>
    </row>
    <row r="66" spans="4:10" x14ac:dyDescent="0.3">
      <c r="D66">
        <f t="shared" si="3"/>
        <v>0.16500000000000006</v>
      </c>
      <c r="E66">
        <f t="shared" si="0"/>
        <v>-0.97411387705930974</v>
      </c>
      <c r="F66" cm="1">
        <f t="array" ref="F66">mynormsinv(D66)</f>
        <v>-0.97411387769782187</v>
      </c>
      <c r="I66">
        <f t="shared" si="1"/>
        <v>0.16500000000000006</v>
      </c>
      <c r="J66">
        <f t="shared" si="2"/>
        <v>6.385121320562348E-10</v>
      </c>
    </row>
    <row r="67" spans="4:10" x14ac:dyDescent="0.3">
      <c r="D67">
        <f t="shared" si="3"/>
        <v>0.17000000000000007</v>
      </c>
      <c r="E67">
        <f t="shared" si="0"/>
        <v>-0.95416525314619549</v>
      </c>
      <c r="F67" cm="1">
        <f t="array" ref="F67">mynormsinv(D67)</f>
        <v>-0.95416525352167203</v>
      </c>
      <c r="I67">
        <f t="shared" si="1"/>
        <v>0.17000000000000007</v>
      </c>
      <c r="J67">
        <f t="shared" si="2"/>
        <v>3.7547653874980824E-10</v>
      </c>
    </row>
    <row r="68" spans="4:10" x14ac:dyDescent="0.3">
      <c r="D68">
        <f t="shared" si="3"/>
        <v>0.17500000000000007</v>
      </c>
      <c r="E68">
        <f t="shared" si="0"/>
        <v>-0.9345892910734801</v>
      </c>
      <c r="F68" cm="1">
        <f t="array" ref="F68">mynormsinv(D68)</f>
        <v>-0.93458929117799405</v>
      </c>
      <c r="I68">
        <f t="shared" si="1"/>
        <v>0.17500000000000007</v>
      </c>
      <c r="J68">
        <f t="shared" si="2"/>
        <v>1.0451395304755806E-10</v>
      </c>
    </row>
    <row r="69" spans="4:10" x14ac:dyDescent="0.3">
      <c r="D69">
        <f t="shared" si="3"/>
        <v>0.18000000000000008</v>
      </c>
      <c r="E69">
        <f t="shared" si="0"/>
        <v>-0.91536508784281256</v>
      </c>
      <c r="F69" cm="1">
        <f t="array" ref="F69">mynormsinv(D69)</f>
        <v>-0.91536508768695068</v>
      </c>
      <c r="I69">
        <f t="shared" si="1"/>
        <v>0.18000000000000008</v>
      </c>
      <c r="J69">
        <f t="shared" si="2"/>
        <v>-1.5586187895877401E-10</v>
      </c>
    </row>
    <row r="70" spans="4:10" x14ac:dyDescent="0.3">
      <c r="D70">
        <f t="shared" si="3"/>
        <v>0.18500000000000008</v>
      </c>
      <c r="E70">
        <f t="shared" si="0"/>
        <v>-0.89647336400191591</v>
      </c>
      <c r="F70" cm="1">
        <f t="array" ref="F70">mynormsinv(D70)</f>
        <v>-0.89647336361134033</v>
      </c>
      <c r="I70">
        <f t="shared" si="1"/>
        <v>0.18500000000000008</v>
      </c>
      <c r="J70">
        <f t="shared" si="2"/>
        <v>-3.9057557188471037E-10</v>
      </c>
    </row>
    <row r="71" spans="4:10" x14ac:dyDescent="0.3">
      <c r="D71">
        <f t="shared" si="3"/>
        <v>0.19000000000000009</v>
      </c>
      <c r="E71">
        <f t="shared" si="0"/>
        <v>-0.87789629505122779</v>
      </c>
      <c r="F71" cm="1">
        <f t="array" ref="F71">mynormsinv(D71)</f>
        <v>-0.87789629446291573</v>
      </c>
      <c r="I71">
        <f t="shared" si="1"/>
        <v>0.19000000000000009</v>
      </c>
      <c r="J71">
        <f t="shared" si="2"/>
        <v>-5.883120657301788E-10</v>
      </c>
    </row>
    <row r="72" spans="4:10" x14ac:dyDescent="0.3">
      <c r="D72">
        <f t="shared" si="3"/>
        <v>0.19500000000000009</v>
      </c>
      <c r="E72">
        <f t="shared" si="0"/>
        <v>-0.85961736424191115</v>
      </c>
      <c r="F72" cm="1">
        <f t="array" ref="F72">mynormsinv(D72)</f>
        <v>-0.85961736350036622</v>
      </c>
      <c r="I72">
        <f t="shared" si="1"/>
        <v>0.19500000000000009</v>
      </c>
      <c r="J72">
        <f t="shared" si="2"/>
        <v>-7.4154493656664044E-10</v>
      </c>
    </row>
    <row r="73" spans="4:10" x14ac:dyDescent="0.3">
      <c r="D73">
        <f t="shared" si="3"/>
        <v>0.20000000000000009</v>
      </c>
      <c r="E73">
        <f t="shared" si="0"/>
        <v>-0.84162123357291341</v>
      </c>
      <c r="F73" cm="1">
        <f t="array" ref="F73">mynormsinv(D73)</f>
        <v>-0.84162123272660927</v>
      </c>
      <c r="I73">
        <f t="shared" si="1"/>
        <v>0.20000000000000009</v>
      </c>
      <c r="J73">
        <f t="shared" si="2"/>
        <v>-8.463041378803382E-10</v>
      </c>
    </row>
    <row r="74" spans="4:10" x14ac:dyDescent="0.3">
      <c r="D74">
        <f t="shared" si="3"/>
        <v>0.2050000000000001</v>
      </c>
      <c r="E74">
        <f t="shared" si="0"/>
        <v>-0.82389363033855734</v>
      </c>
      <c r="F74" cm="1">
        <f t="array" ref="F74">mynormsinv(D74)</f>
        <v>-0.82389362943675748</v>
      </c>
      <c r="I74">
        <f t="shared" si="1"/>
        <v>0.2050000000000001</v>
      </c>
      <c r="J74">
        <f t="shared" si="2"/>
        <v>-9.0179985701155374E-10</v>
      </c>
    </row>
    <row r="75" spans="4:10" x14ac:dyDescent="0.3">
      <c r="D75">
        <f t="shared" si="3"/>
        <v>0.2100000000000001</v>
      </c>
      <c r="E75">
        <f t="shared" si="0"/>
        <v>-0.80642124701823992</v>
      </c>
      <c r="F75" cm="1">
        <f t="array" ref="F75">mynormsinv(D75)</f>
        <v>-0.80642124610831212</v>
      </c>
      <c r="I75">
        <f t="shared" si="1"/>
        <v>0.2100000000000001</v>
      </c>
      <c r="J75">
        <f t="shared" si="2"/>
        <v>-9.0992779977483451E-10</v>
      </c>
    </row>
    <row r="76" spans="4:10" x14ac:dyDescent="0.3">
      <c r="D76">
        <f t="shared" si="3"/>
        <v>0.21500000000000011</v>
      </c>
      <c r="E76">
        <f t="shared" si="0"/>
        <v>-0.789191652658222</v>
      </c>
      <c r="F76" cm="1">
        <f t="array" ref="F76">mynormsinv(D76)</f>
        <v>-0.78919165178347894</v>
      </c>
      <c r="I76">
        <f t="shared" si="1"/>
        <v>0.21500000000000011</v>
      </c>
      <c r="J76">
        <f t="shared" si="2"/>
        <v>-8.747430557676239E-10</v>
      </c>
    </row>
    <row r="77" spans="4:10" x14ac:dyDescent="0.3">
      <c r="D77">
        <f t="shared" si="3"/>
        <v>0.22000000000000011</v>
      </c>
      <c r="E77">
        <f t="shared" si="0"/>
        <v>-0.77219321418868436</v>
      </c>
      <c r="F77" cm="1">
        <f t="array" ref="F77">mynormsinv(D77)</f>
        <v>-0.77219321338677605</v>
      </c>
      <c r="I77">
        <f t="shared" si="1"/>
        <v>0.22000000000000011</v>
      </c>
      <c r="J77">
        <f t="shared" si="2"/>
        <v>-8.0190831752702252E-10</v>
      </c>
    </row>
    <row r="78" spans="4:10" x14ac:dyDescent="0.3">
      <c r="D78">
        <f t="shared" si="3"/>
        <v>0.22500000000000012</v>
      </c>
      <c r="E78">
        <f t="shared" si="0"/>
        <v>-0.75541502636046942</v>
      </c>
      <c r="F78" cm="1">
        <f t="array" ref="F78">mynormsinv(D78)</f>
        <v>-0.75541502566229601</v>
      </c>
      <c r="I78">
        <f t="shared" si="1"/>
        <v>0.22500000000000012</v>
      </c>
      <c r="J78">
        <f t="shared" si="2"/>
        <v>-6.9817340797584393E-10</v>
      </c>
    </row>
    <row r="79" spans="4:10" x14ac:dyDescent="0.3">
      <c r="D79">
        <f t="shared" si="3"/>
        <v>0.23000000000000012</v>
      </c>
      <c r="E79">
        <f t="shared" si="0"/>
        <v>-0.73884684918521337</v>
      </c>
      <c r="F79" cm="1">
        <f t="array" ref="F79">mynormsinv(D79)</f>
        <v>-0.73884684861432237</v>
      </c>
      <c r="I79">
        <f t="shared" si="1"/>
        <v>0.23000000000000012</v>
      </c>
      <c r="J79">
        <f t="shared" si="2"/>
        <v>-5.7089100113927316E-10</v>
      </c>
    </row>
    <row r="80" spans="4:10" x14ac:dyDescent="0.3">
      <c r="D80">
        <f t="shared" si="3"/>
        <v>0.23500000000000013</v>
      </c>
      <c r="E80">
        <f t="shared" si="0"/>
        <v>-0.72247905192806261</v>
      </c>
      <c r="F80" cm="1">
        <f t="array" ref="F80">mynormsinv(D80)</f>
        <v>-0.72247905150046465</v>
      </c>
      <c r="I80">
        <f t="shared" si="1"/>
        <v>0.23500000000000013</v>
      </c>
      <c r="J80">
        <f t="shared" si="2"/>
        <v>-4.2759795704228054E-10</v>
      </c>
    </row>
    <row r="81" spans="4:10" x14ac:dyDescent="0.3">
      <c r="D81">
        <f t="shared" si="3"/>
        <v>0.24000000000000013</v>
      </c>
      <c r="E81">
        <f t="shared" si="0"/>
        <v>-0.70630256284008697</v>
      </c>
      <c r="F81" cm="1">
        <f t="array" ref="F81">mynormsinv(D81)</f>
        <v>-0.70630256256443658</v>
      </c>
      <c r="I81">
        <f t="shared" si="1"/>
        <v>0.24000000000000013</v>
      </c>
      <c r="J81">
        <f t="shared" si="2"/>
        <v>-2.7565039140142744E-10</v>
      </c>
    </row>
    <row r="82" spans="4:10" x14ac:dyDescent="0.3">
      <c r="D82">
        <f t="shared" si="3"/>
        <v>0.24500000000000013</v>
      </c>
      <c r="E82">
        <f t="shared" si="0"/>
        <v>-0.69030882393303394</v>
      </c>
      <c r="F82" cm="1">
        <f t="array" ref="F82">mynormsinv(D82)</f>
        <v>-0.69030882381109437</v>
      </c>
      <c r="I82">
        <f t="shared" si="1"/>
        <v>0.24500000000000013</v>
      </c>
      <c r="J82">
        <f t="shared" si="2"/>
        <v>-1.2193956955286467E-10</v>
      </c>
    </row>
    <row r="83" spans="4:10" x14ac:dyDescent="0.3">
      <c r="D83">
        <f t="shared" si="3"/>
        <v>0.25000000000000011</v>
      </c>
      <c r="E83">
        <f t="shared" si="0"/>
        <v>-0.67448975019608159</v>
      </c>
      <c r="F83" cm="1">
        <f t="array" ref="F83">mynormsinv(D83)</f>
        <v>-0.67448975022341906</v>
      </c>
      <c r="I83">
        <f t="shared" si="1"/>
        <v>0.25000000000000011</v>
      </c>
      <c r="J83">
        <f t="shared" si="2"/>
        <v>2.733746562455508E-11</v>
      </c>
    </row>
    <row r="84" spans="4:10" x14ac:dyDescent="0.3">
      <c r="D84">
        <f t="shared" si="3"/>
        <v>0.25500000000000012</v>
      </c>
      <c r="E84">
        <f t="shared" si="0"/>
        <v>-0.6588376927361872</v>
      </c>
      <c r="F84" cm="1">
        <f t="array" ref="F84">mynormsinv(D84)</f>
        <v>-0.6588376929030183</v>
      </c>
      <c r="I84">
        <f t="shared" si="1"/>
        <v>0.25500000000000012</v>
      </c>
      <c r="J84">
        <f t="shared" si="2"/>
        <v>1.6683110448667549E-10</v>
      </c>
    </row>
    <row r="85" spans="4:10" x14ac:dyDescent="0.3">
      <c r="D85">
        <f t="shared" si="3"/>
        <v>0.26000000000000012</v>
      </c>
      <c r="E85">
        <f t="shared" si="0"/>
        <v>-0.64334540539291651</v>
      </c>
      <c r="F85" cm="1">
        <f t="array" ref="F85">mynormsinv(D85)</f>
        <v>-0.64334540568505694</v>
      </c>
      <c r="I85">
        <f t="shared" si="1"/>
        <v>0.26000000000000012</v>
      </c>
      <c r="J85">
        <f t="shared" si="2"/>
        <v>2.9214042296388243E-10</v>
      </c>
    </row>
    <row r="86" spans="4:10" x14ac:dyDescent="0.3">
      <c r="D86">
        <f t="shared" si="3"/>
        <v>0.26500000000000012</v>
      </c>
      <c r="E86">
        <f t="shared" si="0"/>
        <v>-0.62800601443756943</v>
      </c>
      <c r="F86" cm="1">
        <f t="array" ref="F86">mynormsinv(D86)</f>
        <v>-0.62800601483743168</v>
      </c>
      <c r="I86">
        <f t="shared" si="1"/>
        <v>0.26500000000000012</v>
      </c>
      <c r="J86">
        <f t="shared" si="2"/>
        <v>3.9986225441879242E-10</v>
      </c>
    </row>
    <row r="87" spans="4:10" x14ac:dyDescent="0.3">
      <c r="D87">
        <f t="shared" si="3"/>
        <v>0.27000000000000013</v>
      </c>
      <c r="E87">
        <f t="shared" si="0"/>
        <v>-0.61281299101662701</v>
      </c>
      <c r="F87" cm="1">
        <f t="array" ref="F87">mynormsinv(D87)</f>
        <v>-0.61281299150421997</v>
      </c>
      <c r="I87">
        <f t="shared" si="1"/>
        <v>0.27000000000000013</v>
      </c>
      <c r="J87">
        <f t="shared" si="2"/>
        <v>4.8759296600309199E-10</v>
      </c>
    </row>
    <row r="88" spans="4:10" x14ac:dyDescent="0.3">
      <c r="D88">
        <f t="shared" si="3"/>
        <v>0.27500000000000013</v>
      </c>
      <c r="E88">
        <f t="shared" si="0"/>
        <v>-0.59776012604247797</v>
      </c>
      <c r="F88" cm="1">
        <f t="array" ref="F88">mynormsinv(D88)</f>
        <v>-0.5977601265963709</v>
      </c>
      <c r="I88">
        <f t="shared" si="1"/>
        <v>0.27500000000000013</v>
      </c>
      <c r="J88">
        <f t="shared" si="2"/>
        <v>5.538929315207497E-10</v>
      </c>
    </row>
    <row r="89" spans="4:10" x14ac:dyDescent="0.3">
      <c r="D89">
        <f t="shared" si="3"/>
        <v>0.28000000000000014</v>
      </c>
      <c r="E89">
        <f t="shared" si="0"/>
        <v>-0.58284150727121609</v>
      </c>
      <c r="F89" cm="1">
        <f t="array" ref="F89">mynormsinv(D89)</f>
        <v>-0.58284150786943778</v>
      </c>
      <c r="I89">
        <f t="shared" si="1"/>
        <v>0.28000000000000014</v>
      </c>
      <c r="J89">
        <f t="shared" si="2"/>
        <v>5.9822169440337802E-10</v>
      </c>
    </row>
    <row r="90" spans="4:10" x14ac:dyDescent="0.3">
      <c r="D90">
        <f t="shared" si="3"/>
        <v>0.28500000000000014</v>
      </c>
      <c r="E90">
        <f t="shared" si="0"/>
        <v>-0.56805149833898227</v>
      </c>
      <c r="F90" cm="1">
        <f t="array" ref="F90">mynormsinv(D90)</f>
        <v>-0.5680514989598362</v>
      </c>
      <c r="I90">
        <f t="shared" si="1"/>
        <v>0.28500000000000014</v>
      </c>
      <c r="J90">
        <f t="shared" si="2"/>
        <v>6.2085392382726923E-10</v>
      </c>
    </row>
    <row r="91" spans="4:10" x14ac:dyDescent="0.3">
      <c r="D91">
        <f t="shared" si="3"/>
        <v>0.29000000000000015</v>
      </c>
      <c r="E91">
        <f t="shared" si="0"/>
        <v>-0.55338471955567248</v>
      </c>
      <c r="F91" cm="1">
        <f t="array" ref="F91">mynormsinv(D91)</f>
        <v>-0.55338472017844353</v>
      </c>
      <c r="I91">
        <f t="shared" si="1"/>
        <v>0.29000000000000015</v>
      </c>
      <c r="J91">
        <f t="shared" si="2"/>
        <v>6.2277105694619195E-10</v>
      </c>
    </row>
    <row r="92" spans="4:10" x14ac:dyDescent="0.3">
      <c r="D92">
        <f t="shared" si="3"/>
        <v>0.29500000000000015</v>
      </c>
      <c r="E92">
        <f t="shared" si="0"/>
        <v>-0.53883603027844984</v>
      </c>
      <c r="F92" cm="1">
        <f t="array" ref="F92">mynormsinv(D92)</f>
        <v>-0.53883603088400223</v>
      </c>
      <c r="I92">
        <f t="shared" si="1"/>
        <v>0.29500000000000015</v>
      </c>
      <c r="J92">
        <f t="shared" si="2"/>
        <v>6.0555238601267547E-10</v>
      </c>
    </row>
    <row r="93" spans="4:10" x14ac:dyDescent="0.3">
      <c r="D93">
        <f t="shared" si="3"/>
        <v>0.30000000000000016</v>
      </c>
      <c r="E93">
        <f t="shared" si="0"/>
        <v>-0.52440051270804033</v>
      </c>
      <c r="F93" cm="1">
        <f t="array" ref="F93">mynormsinv(D93)</f>
        <v>-0.52440051327929382</v>
      </c>
      <c r="I93">
        <f t="shared" si="1"/>
        <v>0.30000000000000016</v>
      </c>
      <c r="J93">
        <f t="shared" si="2"/>
        <v>5.7125348895681327E-10</v>
      </c>
    </row>
    <row r="94" spans="4:10" x14ac:dyDescent="0.3">
      <c r="D94">
        <f t="shared" si="3"/>
        <v>0.30500000000000016</v>
      </c>
      <c r="E94">
        <f t="shared" si="0"/>
        <v>-0.51007345696859441</v>
      </c>
      <c r="F94" cm="1">
        <f t="array" ref="F94">mynormsinv(D94)</f>
        <v>-0.51007345749088251</v>
      </c>
      <c r="I94">
        <f t="shared" si="1"/>
        <v>0.30500000000000016</v>
      </c>
      <c r="J94">
        <f t="shared" si="2"/>
        <v>5.222881016564429E-10</v>
      </c>
    </row>
    <row r="95" spans="4:10" x14ac:dyDescent="0.3">
      <c r="D95">
        <f t="shared" si="3"/>
        <v>0.31000000000000016</v>
      </c>
      <c r="E95">
        <f t="shared" si="0"/>
        <v>-0.49585034734745298</v>
      </c>
      <c r="F95" cm="1">
        <f t="array" ref="F95">mynormsinv(D95)</f>
        <v>-0.49585034780876586</v>
      </c>
      <c r="I95">
        <f t="shared" si="1"/>
        <v>0.31000000000000016</v>
      </c>
      <c r="J95">
        <f t="shared" si="2"/>
        <v>4.6131287678718991E-10</v>
      </c>
    </row>
    <row r="96" spans="4:10" x14ac:dyDescent="0.3">
      <c r="D96">
        <f t="shared" si="3"/>
        <v>0.31500000000000017</v>
      </c>
      <c r="E96">
        <f t="shared" si="0"/>
        <v>-0.48172684958472989</v>
      </c>
      <c r="F96" cm="1">
        <f t="array" ref="F96">mynormsinv(D96)</f>
        <v>-0.48172684997584747</v>
      </c>
      <c r="I96">
        <f t="shared" si="1"/>
        <v>0.31500000000000017</v>
      </c>
      <c r="J96">
        <f t="shared" si="2"/>
        <v>3.9111758276533237E-10</v>
      </c>
    </row>
    <row r="97" spans="4:10" x14ac:dyDescent="0.3">
      <c r="D97">
        <f t="shared" si="3"/>
        <v>0.32000000000000017</v>
      </c>
      <c r="E97">
        <f t="shared" si="0"/>
        <v>-0.46769879911450779</v>
      </c>
      <c r="F97" cm="1">
        <f t="array" ref="F97">mynormsinv(D97)</f>
        <v>-0.46769879942903236</v>
      </c>
      <c r="I97">
        <f t="shared" si="1"/>
        <v>0.32000000000000017</v>
      </c>
      <c r="J97">
        <f t="shared" si="2"/>
        <v>3.1452457305292114E-10</v>
      </c>
    </row>
    <row r="98" spans="4:10" x14ac:dyDescent="0.3">
      <c r="D98">
        <f t="shared" si="3"/>
        <v>0.32500000000000018</v>
      </c>
      <c r="E98">
        <f t="shared" si="0"/>
        <v>-0.45376219016987895</v>
      </c>
      <c r="F98" cm="1">
        <f t="array" ref="F98">mynormsinv(D98)</f>
        <v>-0.45376219040417809</v>
      </c>
      <c r="I98">
        <f t="shared" si="1"/>
        <v>0.32500000000000018</v>
      </c>
      <c r="J98">
        <f t="shared" si="2"/>
        <v>2.3429913564854132E-10</v>
      </c>
    </row>
    <row r="99" spans="4:10" x14ac:dyDescent="0.3">
      <c r="D99">
        <f t="shared" si="3"/>
        <v>0.33000000000000018</v>
      </c>
      <c r="E99">
        <f t="shared" ref="E99:E162" si="4">NORMSINV(D99)</f>
        <v>-0.43991316567323341</v>
      </c>
      <c r="F99" cm="1">
        <f t="array" ref="F99">mynormsinv(D99)</f>
        <v>-0.43991316582630446</v>
      </c>
      <c r="I99">
        <f t="shared" ref="I99:I162" si="5">D99</f>
        <v>0.33000000000000018</v>
      </c>
      <c r="J99">
        <f t="shared" ref="J99:J162" si="6">E99-F99</f>
        <v>1.5307105583062253E-10</v>
      </c>
    </row>
    <row r="100" spans="4:10" x14ac:dyDescent="0.3">
      <c r="D100">
        <f t="shared" ref="D100:D163" si="7">D99+0.005</f>
        <v>0.33500000000000019</v>
      </c>
      <c r="E100">
        <f t="shared" si="4"/>
        <v>-0.42614800784127777</v>
      </c>
      <c r="F100" cm="1">
        <f t="array" ref="F100">mynormsinv(D100)</f>
        <v>-0.42614800791454754</v>
      </c>
      <c r="I100">
        <f t="shared" si="5"/>
        <v>0.33500000000000019</v>
      </c>
      <c r="J100">
        <f t="shared" si="6"/>
        <v>7.326977913280075E-11</v>
      </c>
    </row>
    <row r="101" spans="4:10" x14ac:dyDescent="0.3">
      <c r="D101">
        <f t="shared" si="7"/>
        <v>0.34000000000000019</v>
      </c>
      <c r="E101">
        <f t="shared" si="4"/>
        <v>-0.41246312944140445</v>
      </c>
      <c r="F101" cm="1">
        <f t="array" ref="F101">mynormsinv(D101)</f>
        <v>-0.41246312943847513</v>
      </c>
      <c r="I101">
        <f t="shared" si="5"/>
        <v>0.34000000000000019</v>
      </c>
      <c r="J101">
        <f t="shared" si="6"/>
        <v>-2.9293234504734755E-12</v>
      </c>
    </row>
    <row r="102" spans="4:10" x14ac:dyDescent="0.3">
      <c r="D102">
        <f t="shared" si="7"/>
        <v>0.3450000000000002</v>
      </c>
      <c r="E102">
        <f t="shared" si="4"/>
        <v>-0.3988550656423363</v>
      </c>
      <c r="F102" cm="1">
        <f t="array" ref="F102">mynormsinv(D102)</f>
        <v>-0.39885506556869232</v>
      </c>
      <c r="I102">
        <f t="shared" si="5"/>
        <v>0.3450000000000002</v>
      </c>
      <c r="J102">
        <f t="shared" si="6"/>
        <v>-7.3643979803250659E-11</v>
      </c>
    </row>
    <row r="103" spans="4:10" x14ac:dyDescent="0.3">
      <c r="D103">
        <f t="shared" si="7"/>
        <v>0.3500000000000002</v>
      </c>
      <c r="E103">
        <f t="shared" si="4"/>
        <v>-0.38532046640756712</v>
      </c>
      <c r="F103" cm="1">
        <f t="array" ref="F103">mynormsinv(D103)</f>
        <v>-0.38532046627025357</v>
      </c>
      <c r="I103">
        <f t="shared" si="5"/>
        <v>0.3500000000000002</v>
      </c>
      <c r="J103">
        <f t="shared" si="6"/>
        <v>-1.3731354941981522E-10</v>
      </c>
    </row>
    <row r="104" spans="4:10" x14ac:dyDescent="0.3">
      <c r="D104">
        <f t="shared" si="7"/>
        <v>0.3550000000000002</v>
      </c>
      <c r="E104">
        <f t="shared" si="4"/>
        <v>-0.37185608938507414</v>
      </c>
      <c r="F104" cm="1">
        <f t="array" ref="F104">mynormsinv(D104)</f>
        <v>-0.37185608919235991</v>
      </c>
      <c r="I104">
        <f t="shared" si="5"/>
        <v>0.3550000000000002</v>
      </c>
      <c r="J104">
        <f t="shared" si="6"/>
        <v>-1.9271423346012284E-10</v>
      </c>
    </row>
    <row r="105" spans="4:10" x14ac:dyDescent="0.3">
      <c r="D105">
        <f t="shared" si="7"/>
        <v>0.36000000000000021</v>
      </c>
      <c r="E105">
        <f t="shared" si="4"/>
        <v>-0.35845879325119318</v>
      </c>
      <c r="F105" cm="1">
        <f t="array" ref="F105">mynormsinv(D105)</f>
        <v>-0.35845879301222872</v>
      </c>
      <c r="I105">
        <f t="shared" si="5"/>
        <v>0.36000000000000021</v>
      </c>
      <c r="J105">
        <f t="shared" si="6"/>
        <v>-2.3896445933146993E-10</v>
      </c>
    </row>
    <row r="106" spans="4:10" x14ac:dyDescent="0.3">
      <c r="D106">
        <f t="shared" si="7"/>
        <v>0.36500000000000021</v>
      </c>
      <c r="E106">
        <f t="shared" si="4"/>
        <v>-0.34512553147047187</v>
      </c>
      <c r="F106" cm="1">
        <f t="array" ref="F106">mynormsinv(D106)</f>
        <v>-0.34512553119495182</v>
      </c>
      <c r="I106">
        <f t="shared" si="5"/>
        <v>0.36500000000000021</v>
      </c>
      <c r="J106">
        <f t="shared" si="6"/>
        <v>-2.7552005121833645E-10</v>
      </c>
    </row>
    <row r="107" spans="4:10" x14ac:dyDescent="0.3">
      <c r="D107">
        <f t="shared" si="7"/>
        <v>0.37000000000000022</v>
      </c>
      <c r="E107">
        <f t="shared" si="4"/>
        <v>-0.33185334643681608</v>
      </c>
      <c r="F107" cm="1">
        <f t="array" ref="F107">mynormsinv(D107)</f>
        <v>-0.33185334613465561</v>
      </c>
      <c r="I107">
        <f t="shared" si="5"/>
        <v>0.37000000000000022</v>
      </c>
      <c r="J107">
        <f t="shared" si="6"/>
        <v>-3.0216046331688062E-10</v>
      </c>
    </row>
    <row r="108" spans="4:10" x14ac:dyDescent="0.3">
      <c r="D108">
        <f t="shared" si="7"/>
        <v>0.37500000000000022</v>
      </c>
      <c r="E108">
        <f t="shared" si="4"/>
        <v>-0.31863936396437464</v>
      </c>
      <c r="F108" cm="1">
        <f t="array" ref="F108">mynormsinv(D108)</f>
        <v>-0.31863936364540624</v>
      </c>
      <c r="I108">
        <f t="shared" si="5"/>
        <v>0.37500000000000022</v>
      </c>
      <c r="J108">
        <f t="shared" si="6"/>
        <v>-3.1896840724243702E-10</v>
      </c>
    </row>
    <row r="109" spans="4:10" x14ac:dyDescent="0.3">
      <c r="D109">
        <f t="shared" si="7"/>
        <v>0.38000000000000023</v>
      </c>
      <c r="E109">
        <f t="shared" si="4"/>
        <v>-0.30548078809939677</v>
      </c>
      <c r="F109" cm="1">
        <f t="array" ref="F109">mynormsinv(D109)</f>
        <v>-0.30548078777309473</v>
      </c>
      <c r="I109">
        <f t="shared" si="5"/>
        <v>0.38000000000000023</v>
      </c>
      <c r="J109">
        <f t="shared" si="6"/>
        <v>-3.2630204094274973E-10</v>
      </c>
    </row>
    <row r="110" spans="4:10" x14ac:dyDescent="0.3">
      <c r="D110">
        <f t="shared" si="7"/>
        <v>0.38500000000000023</v>
      </c>
      <c r="E110">
        <f t="shared" si="4"/>
        <v>-0.29237489622680363</v>
      </c>
      <c r="F110" cm="1">
        <f t="array" ref="F110">mynormsinv(D110)</f>
        <v>-0.29237489590204063</v>
      </c>
      <c r="I110">
        <f t="shared" si="5"/>
        <v>0.38500000000000023</v>
      </c>
      <c r="J110">
        <f t="shared" si="6"/>
        <v>-3.247629942748631E-10</v>
      </c>
    </row>
    <row r="111" spans="4:10" x14ac:dyDescent="0.3">
      <c r="D111">
        <f t="shared" si="7"/>
        <v>0.39000000000000024</v>
      </c>
      <c r="E111">
        <f t="shared" si="4"/>
        <v>-0.2793190344474536</v>
      </c>
      <c r="F111" cm="1">
        <f t="array" ref="F111">mynormsinv(D111)</f>
        <v>-0.27931903413229353</v>
      </c>
      <c r="I111">
        <f t="shared" si="5"/>
        <v>0.39000000000000024</v>
      </c>
      <c r="J111">
        <f t="shared" si="6"/>
        <v>-3.1516006471221658E-10</v>
      </c>
    </row>
    <row r="112" spans="4:10" x14ac:dyDescent="0.3">
      <c r="D112">
        <f t="shared" si="7"/>
        <v>0.39500000000000024</v>
      </c>
      <c r="E112">
        <f t="shared" si="4"/>
        <v>-0.26631061320409444</v>
      </c>
      <c r="F112" cm="1">
        <f t="array" ref="F112">mynormsinv(D112)</f>
        <v>-0.26631061290562363</v>
      </c>
      <c r="I112">
        <f t="shared" si="5"/>
        <v>0.39500000000000024</v>
      </c>
      <c r="J112">
        <f t="shared" si="6"/>
        <v>-2.9847080362799261E-10</v>
      </c>
    </row>
    <row r="113" spans="4:10" x14ac:dyDescent="0.3">
      <c r="D113">
        <f t="shared" si="7"/>
        <v>0.40000000000000024</v>
      </c>
      <c r="E113">
        <f t="shared" si="4"/>
        <v>-0.25334710313579917</v>
      </c>
      <c r="F113" cm="1">
        <f t="array" ref="F113">mynormsinv(D113)</f>
        <v>-0.25334710285999801</v>
      </c>
      <c r="I113">
        <f t="shared" si="5"/>
        <v>0.40000000000000024</v>
      </c>
      <c r="J113">
        <f t="shared" si="6"/>
        <v>-2.7580115968817154E-10</v>
      </c>
    </row>
    <row r="114" spans="4:10" x14ac:dyDescent="0.3">
      <c r="D114">
        <f t="shared" si="7"/>
        <v>0.40500000000000025</v>
      </c>
      <c r="E114">
        <f t="shared" si="4"/>
        <v>-0.24042603114230734</v>
      </c>
      <c r="F114" cm="1">
        <f t="array" ref="F114">mynormsinv(D114)</f>
        <v>-0.24042603089396186</v>
      </c>
      <c r="I114">
        <f t="shared" si="5"/>
        <v>0.40500000000000025</v>
      </c>
      <c r="J114">
        <f t="shared" si="6"/>
        <v>-2.4834548306706949E-10</v>
      </c>
    </row>
    <row r="115" spans="4:10" x14ac:dyDescent="0.3">
      <c r="D115">
        <f t="shared" si="7"/>
        <v>0.41000000000000025</v>
      </c>
      <c r="E115">
        <f t="shared" si="4"/>
        <v>-0.22754497664114881</v>
      </c>
      <c r="F115" cm="1">
        <f t="array" ref="F115">mynormsinv(D115)</f>
        <v>-0.22754497642380281</v>
      </c>
      <c r="I115">
        <f t="shared" si="5"/>
        <v>0.41000000000000025</v>
      </c>
      <c r="J115">
        <f t="shared" si="6"/>
        <v>-2.1734600230693957E-10</v>
      </c>
    </row>
    <row r="116" spans="4:10" x14ac:dyDescent="0.3">
      <c r="D116">
        <f t="shared" si="7"/>
        <v>0.41500000000000026</v>
      </c>
      <c r="E116">
        <f t="shared" si="4"/>
        <v>-0.21470156800174386</v>
      </c>
      <c r="F116" cm="1">
        <f t="array" ref="F116">mynormsinv(D116)</f>
        <v>-0.2147015678176889</v>
      </c>
      <c r="I116">
        <f t="shared" si="5"/>
        <v>0.41500000000000026</v>
      </c>
      <c r="J116">
        <f t="shared" si="6"/>
        <v>-1.8405496571283209E-10</v>
      </c>
    </row>
    <row r="117" spans="4:10" x14ac:dyDescent="0.3">
      <c r="D117">
        <f t="shared" si="7"/>
        <v>0.42000000000000026</v>
      </c>
      <c r="E117">
        <f t="shared" si="4"/>
        <v>-0.20189347914185019</v>
      </c>
      <c r="F117" cm="1">
        <f t="array" ref="F117">mynormsinv(D117)</f>
        <v>-0.20189347899215188</v>
      </c>
      <c r="I117">
        <f t="shared" si="5"/>
        <v>0.42000000000000026</v>
      </c>
      <c r="J117">
        <f t="shared" si="6"/>
        <v>-1.4969830930411376E-10</v>
      </c>
    </row>
    <row r="118" spans="4:10" x14ac:dyDescent="0.3">
      <c r="D118">
        <f t="shared" si="7"/>
        <v>0.42500000000000027</v>
      </c>
      <c r="E118">
        <f t="shared" si="4"/>
        <v>-0.18911842627279182</v>
      </c>
      <c r="F118" cm="1">
        <f t="array" ref="F118">mynormsinv(D118)</f>
        <v>-0.18911842615734914</v>
      </c>
      <c r="I118">
        <f t="shared" si="5"/>
        <v>0.42500000000000027</v>
      </c>
      <c r="J118">
        <f t="shared" si="6"/>
        <v>-1.1544268319063633E-10</v>
      </c>
    </row>
    <row r="119" spans="4:10" x14ac:dyDescent="0.3">
      <c r="D119">
        <f t="shared" si="7"/>
        <v>0.43000000000000027</v>
      </c>
      <c r="E119">
        <f t="shared" si="4"/>
        <v>-0.17637416478086065</v>
      </c>
      <c r="F119" cm="1">
        <f t="array" ref="F119">mynormsinv(D119)</f>
        <v>-0.17637416469849501</v>
      </c>
      <c r="I119">
        <f t="shared" si="5"/>
        <v>0.43000000000000027</v>
      </c>
      <c r="J119">
        <f t="shared" si="6"/>
        <v>-8.2365642084525348E-11</v>
      </c>
    </row>
    <row r="120" spans="4:10" x14ac:dyDescent="0.3">
      <c r="D120">
        <f t="shared" si="7"/>
        <v>0.43500000000000028</v>
      </c>
      <c r="E120">
        <f t="shared" si="4"/>
        <v>-0.16365848623314058</v>
      </c>
      <c r="F120" cm="1">
        <f t="array" ref="F120">mynormsinv(D120)</f>
        <v>-0.16365848618171044</v>
      </c>
      <c r="I120">
        <f t="shared" si="5"/>
        <v>0.43500000000000028</v>
      </c>
      <c r="J120">
        <f t="shared" si="6"/>
        <v>-5.1430137926189445E-11</v>
      </c>
    </row>
    <row r="121" spans="4:10" x14ac:dyDescent="0.3">
      <c r="D121">
        <f t="shared" si="7"/>
        <v>0.44000000000000028</v>
      </c>
      <c r="E121">
        <f t="shared" si="4"/>
        <v>-0.15096921549677655</v>
      </c>
      <c r="F121" cm="1">
        <f t="array" ref="F121">mynormsinv(D121)</f>
        <v>-0.15096921547331316</v>
      </c>
      <c r="I121">
        <f t="shared" si="5"/>
        <v>0.44000000000000028</v>
      </c>
      <c r="J121">
        <f t="shared" si="6"/>
        <v>-2.3463397891276827E-11</v>
      </c>
    </row>
    <row r="122" spans="4:10" x14ac:dyDescent="0.3">
      <c r="D122">
        <f t="shared" si="7"/>
        <v>0.44500000000000028</v>
      </c>
      <c r="E122">
        <f t="shared" si="4"/>
        <v>-0.13830420796140383</v>
      </c>
      <c r="F122" cm="1">
        <f t="array" ref="F122">mynormsinv(D122)</f>
        <v>-0.13830420796226359</v>
      </c>
      <c r="I122">
        <f t="shared" si="5"/>
        <v>0.44500000000000028</v>
      </c>
      <c r="J122">
        <f t="shared" si="6"/>
        <v>8.5975671026972122E-13</v>
      </c>
    </row>
    <row r="123" spans="4:10" x14ac:dyDescent="0.3">
      <c r="D123">
        <f t="shared" si="7"/>
        <v>0.45000000000000029</v>
      </c>
      <c r="E123">
        <f t="shared" si="4"/>
        <v>-0.12566134685507332</v>
      </c>
      <c r="F123" cm="1">
        <f t="array" ref="F123">mynormsinv(D123)</f>
        <v>-0.12566134687610231</v>
      </c>
      <c r="I123">
        <f t="shared" si="5"/>
        <v>0.45000000000000029</v>
      </c>
      <c r="J123">
        <f t="shared" si="6"/>
        <v>2.1028984109605631E-11</v>
      </c>
    </row>
    <row r="124" spans="4:10" x14ac:dyDescent="0.3">
      <c r="D124">
        <f t="shared" si="7"/>
        <v>0.45500000000000029</v>
      </c>
      <c r="E124">
        <f t="shared" si="4"/>
        <v>-0.11303854064456441</v>
      </c>
      <c r="F124" cm="1">
        <f t="array" ref="F124">mynormsinv(D124)</f>
        <v>-0.11303854068126955</v>
      </c>
      <c r="I124">
        <f t="shared" si="5"/>
        <v>0.45500000000000029</v>
      </c>
      <c r="J124">
        <f t="shared" si="6"/>
        <v>3.6705138928283532E-11</v>
      </c>
    </row>
    <row r="125" spans="4:10" x14ac:dyDescent="0.3">
      <c r="D125">
        <f t="shared" si="7"/>
        <v>0.4600000000000003</v>
      </c>
      <c r="E125">
        <f t="shared" si="4"/>
        <v>-0.10043372051146907</v>
      </c>
      <c r="F125" cm="1">
        <f t="array" ref="F125">mynormsinv(D125)</f>
        <v>-0.10043372055919189</v>
      </c>
      <c r="I125">
        <f t="shared" si="5"/>
        <v>0.4600000000000003</v>
      </c>
      <c r="J125">
        <f t="shared" si="6"/>
        <v>4.7722825691209891E-11</v>
      </c>
    </row>
    <row r="126" spans="4:10" x14ac:dyDescent="0.3">
      <c r="D126">
        <f t="shared" si="7"/>
        <v>0.4650000000000003</v>
      </c>
      <c r="E126">
        <f t="shared" si="4"/>
        <v>-8.7844837895870984E-2</v>
      </c>
      <c r="F126" cm="1">
        <f t="array" ref="F126">mynormsinv(D126)</f>
        <v>-8.7844837949959079E-2</v>
      </c>
      <c r="I126">
        <f t="shared" si="5"/>
        <v>0.4650000000000003</v>
      </c>
      <c r="J126">
        <f t="shared" si="6"/>
        <v>5.4088095113868917E-11</v>
      </c>
    </row>
    <row r="127" spans="4:10" x14ac:dyDescent="0.3">
      <c r="D127">
        <f t="shared" si="7"/>
        <v>0.47000000000000031</v>
      </c>
      <c r="E127">
        <f t="shared" si="4"/>
        <v>-7.5269862099829069E-2</v>
      </c>
      <c r="F127" cm="1">
        <f t="array" ref="F127">mynormsinv(D127)</f>
        <v>-7.5269862155800629E-2</v>
      </c>
      <c r="I127">
        <f t="shared" si="5"/>
        <v>0.47000000000000031</v>
      </c>
      <c r="J127">
        <f t="shared" si="6"/>
        <v>5.5971560719569879E-11</v>
      </c>
    </row>
    <row r="128" spans="4:10" x14ac:dyDescent="0.3">
      <c r="D128">
        <f t="shared" si="7"/>
        <v>0.47500000000000031</v>
      </c>
      <c r="E128">
        <f t="shared" si="4"/>
        <v>-6.2706777943213013E-2</v>
      </c>
      <c r="F128" cm="1">
        <f t="array" ref="F128">mynormsinv(D128)</f>
        <v>-6.2706777996910754E-2</v>
      </c>
      <c r="I128">
        <f t="shared" si="5"/>
        <v>0.47500000000000031</v>
      </c>
      <c r="J128">
        <f t="shared" si="6"/>
        <v>5.3697740698410712E-11</v>
      </c>
    </row>
    <row r="129" spans="4:10" x14ac:dyDescent="0.3">
      <c r="D129">
        <f t="shared" si="7"/>
        <v>0.48000000000000032</v>
      </c>
      <c r="E129">
        <f t="shared" si="4"/>
        <v>-5.015358346473283E-2</v>
      </c>
      <c r="F129" cm="1">
        <f t="array" ref="F129">mynormsinv(D129)</f>
        <v>-5.0153583512463268E-2</v>
      </c>
      <c r="I129">
        <f t="shared" si="5"/>
        <v>0.48000000000000032</v>
      </c>
      <c r="J129">
        <f t="shared" si="6"/>
        <v>4.7730437657822478E-11</v>
      </c>
    </row>
    <row r="130" spans="4:10" x14ac:dyDescent="0.3">
      <c r="D130">
        <f t="shared" si="7"/>
        <v>0.48500000000000032</v>
      </c>
      <c r="E130">
        <f t="shared" si="4"/>
        <v>-3.7608287661255103E-2</v>
      </c>
      <c r="F130" cm="1">
        <f t="array" ref="F130">mynormsinv(D130)</f>
        <v>-3.7608287699909954E-2</v>
      </c>
      <c r="I130">
        <f t="shared" si="5"/>
        <v>0.48500000000000032</v>
      </c>
      <c r="J130">
        <f t="shared" si="6"/>
        <v>3.8654850154085096E-11</v>
      </c>
    </row>
    <row r="131" spans="4:10" x14ac:dyDescent="0.3">
      <c r="D131">
        <f t="shared" si="7"/>
        <v>0.49000000000000032</v>
      </c>
      <c r="E131">
        <f t="shared" si="4"/>
        <v>-2.5068908258710224E-2</v>
      </c>
      <c r="F131" cm="1">
        <f t="array" ref="F131">mynormsinv(D131)</f>
        <v>-2.5068908285867064E-2</v>
      </c>
      <c r="I131">
        <f t="shared" si="5"/>
        <v>0.49000000000000032</v>
      </c>
      <c r="J131">
        <f t="shared" si="6"/>
        <v>2.715683927734247E-11</v>
      </c>
    </row>
    <row r="132" spans="4:10" x14ac:dyDescent="0.3">
      <c r="D132">
        <f t="shared" si="7"/>
        <v>0.49500000000000033</v>
      </c>
      <c r="E132">
        <f t="shared" si="4"/>
        <v>-1.253346950806844E-2</v>
      </c>
      <c r="F132" cm="1">
        <f t="array" ref="F132">mynormsinv(D132)</f>
        <v>-1.2533469522068273E-2</v>
      </c>
      <c r="I132">
        <f t="shared" si="5"/>
        <v>0.49500000000000033</v>
      </c>
      <c r="J132">
        <f t="shared" si="6"/>
        <v>1.3999832543243329E-11</v>
      </c>
    </row>
    <row r="133" spans="4:10" x14ac:dyDescent="0.3">
      <c r="D133">
        <f t="shared" si="7"/>
        <v>0.50000000000000033</v>
      </c>
      <c r="E133">
        <f t="shared" si="4"/>
        <v>8.3487492740153014E-16</v>
      </c>
      <c r="F133" cm="1">
        <f t="array" ref="F133">mynormsinv(D133)</f>
        <v>8.3487492834352305E-16</v>
      </c>
      <c r="I133">
        <f t="shared" si="5"/>
        <v>0.50000000000000033</v>
      </c>
      <c r="J133">
        <f t="shared" si="6"/>
        <v>-9.4199290781309102E-25</v>
      </c>
    </row>
    <row r="134" spans="4:10" x14ac:dyDescent="0.3">
      <c r="D134">
        <f t="shared" si="7"/>
        <v>0.50500000000000034</v>
      </c>
      <c r="E134">
        <f t="shared" si="4"/>
        <v>1.253346950807011E-2</v>
      </c>
      <c r="F134" cm="1">
        <f t="array" ref="F134">mynormsinv(D134)</f>
        <v>1.2533469522069943E-2</v>
      </c>
      <c r="I134">
        <f t="shared" si="5"/>
        <v>0.50500000000000034</v>
      </c>
      <c r="J134">
        <f t="shared" si="6"/>
        <v>-1.3999832543243329E-11</v>
      </c>
    </row>
    <row r="135" spans="4:10" x14ac:dyDescent="0.3">
      <c r="D135">
        <f t="shared" si="7"/>
        <v>0.51000000000000034</v>
      </c>
      <c r="E135">
        <f t="shared" si="4"/>
        <v>2.5068908258711893E-2</v>
      </c>
      <c r="F135" cm="1">
        <f t="array" ref="F135">mynormsinv(D135)</f>
        <v>2.5068908285868732E-2</v>
      </c>
      <c r="I135">
        <f t="shared" si="5"/>
        <v>0.51000000000000034</v>
      </c>
      <c r="J135">
        <f t="shared" si="6"/>
        <v>-2.715683927734247E-11</v>
      </c>
    </row>
    <row r="136" spans="4:10" x14ac:dyDescent="0.3">
      <c r="D136">
        <f t="shared" si="7"/>
        <v>0.51500000000000035</v>
      </c>
      <c r="E136">
        <f t="shared" si="4"/>
        <v>3.7608287661256776E-2</v>
      </c>
      <c r="F136" cm="1">
        <f t="array" ref="F136">mynormsinv(D136)</f>
        <v>3.7608287699911626E-2</v>
      </c>
      <c r="I136">
        <f t="shared" si="5"/>
        <v>0.51500000000000035</v>
      </c>
      <c r="J136">
        <f t="shared" si="6"/>
        <v>-3.8654850154085096E-11</v>
      </c>
    </row>
    <row r="137" spans="4:10" x14ac:dyDescent="0.3">
      <c r="D137">
        <f t="shared" si="7"/>
        <v>0.52000000000000035</v>
      </c>
      <c r="E137">
        <f t="shared" si="4"/>
        <v>5.0153583464734502E-2</v>
      </c>
      <c r="F137" cm="1">
        <f t="array" ref="F137">mynormsinv(D137)</f>
        <v>5.015358351246494E-2</v>
      </c>
      <c r="I137">
        <f t="shared" si="5"/>
        <v>0.52000000000000035</v>
      </c>
      <c r="J137">
        <f t="shared" si="6"/>
        <v>-4.7730437657822478E-11</v>
      </c>
    </row>
    <row r="138" spans="4:10" x14ac:dyDescent="0.3">
      <c r="D138">
        <f t="shared" si="7"/>
        <v>0.52500000000000036</v>
      </c>
      <c r="E138">
        <f t="shared" si="4"/>
        <v>6.2706777943214678E-2</v>
      </c>
      <c r="F138" cm="1">
        <f t="array" ref="F138">mynormsinv(D138)</f>
        <v>6.2706777996912419E-2</v>
      </c>
      <c r="I138">
        <f t="shared" si="5"/>
        <v>0.52500000000000036</v>
      </c>
      <c r="J138">
        <f t="shared" si="6"/>
        <v>-5.3697740698410712E-11</v>
      </c>
    </row>
    <row r="139" spans="4:10" x14ac:dyDescent="0.3">
      <c r="D139">
        <f t="shared" si="7"/>
        <v>0.53000000000000036</v>
      </c>
      <c r="E139">
        <f t="shared" si="4"/>
        <v>7.5269862099830748E-2</v>
      </c>
      <c r="F139" cm="1">
        <f t="array" ref="F139">mynormsinv(D139)</f>
        <v>7.5269862155802295E-2</v>
      </c>
      <c r="I139">
        <f t="shared" si="5"/>
        <v>0.53000000000000036</v>
      </c>
      <c r="J139">
        <f t="shared" si="6"/>
        <v>-5.5971546841782072E-11</v>
      </c>
    </row>
    <row r="140" spans="4:10" x14ac:dyDescent="0.3">
      <c r="D140">
        <f t="shared" si="7"/>
        <v>0.53500000000000036</v>
      </c>
      <c r="E140">
        <f t="shared" si="4"/>
        <v>8.7844837895872649E-2</v>
      </c>
      <c r="F140" cm="1">
        <f t="array" ref="F140">mynormsinv(D140)</f>
        <v>8.7844837949960758E-2</v>
      </c>
      <c r="I140">
        <f t="shared" si="5"/>
        <v>0.53500000000000036</v>
      </c>
      <c r="J140">
        <f t="shared" si="6"/>
        <v>-5.4088108991656725E-11</v>
      </c>
    </row>
    <row r="141" spans="4:10" x14ac:dyDescent="0.3">
      <c r="D141">
        <f t="shared" si="7"/>
        <v>0.54000000000000037</v>
      </c>
      <c r="E141">
        <f t="shared" si="4"/>
        <v>0.10043372051147072</v>
      </c>
      <c r="F141" cm="1">
        <f t="array" ref="F141">mynormsinv(D141)</f>
        <v>0.10043372055919357</v>
      </c>
      <c r="I141">
        <f t="shared" si="5"/>
        <v>0.54000000000000037</v>
      </c>
      <c r="J141">
        <f t="shared" si="6"/>
        <v>-4.7722853446785507E-11</v>
      </c>
    </row>
    <row r="142" spans="4:10" x14ac:dyDescent="0.3">
      <c r="D142">
        <f t="shared" si="7"/>
        <v>0.54500000000000037</v>
      </c>
      <c r="E142">
        <f t="shared" si="4"/>
        <v>0.11303854064456609</v>
      </c>
      <c r="F142" cm="1">
        <f t="array" ref="F142">mynormsinv(D142)</f>
        <v>0.11303854068127123</v>
      </c>
      <c r="I142">
        <f t="shared" si="5"/>
        <v>0.54500000000000037</v>
      </c>
      <c r="J142">
        <f t="shared" si="6"/>
        <v>-3.6705138928283532E-11</v>
      </c>
    </row>
    <row r="143" spans="4:10" x14ac:dyDescent="0.3">
      <c r="D143">
        <f t="shared" si="7"/>
        <v>0.55000000000000038</v>
      </c>
      <c r="E143">
        <f t="shared" si="4"/>
        <v>0.12566134685507499</v>
      </c>
      <c r="F143" cm="1">
        <f t="array" ref="F143">mynormsinv(D143)</f>
        <v>0.12566134687610397</v>
      </c>
      <c r="I143">
        <f t="shared" si="5"/>
        <v>0.55000000000000038</v>
      </c>
      <c r="J143">
        <f t="shared" si="6"/>
        <v>-2.1028984109605631E-11</v>
      </c>
    </row>
    <row r="144" spans="4:10" x14ac:dyDescent="0.3">
      <c r="D144">
        <f t="shared" si="7"/>
        <v>0.55500000000000038</v>
      </c>
      <c r="E144">
        <f t="shared" si="4"/>
        <v>0.1383042079614055</v>
      </c>
      <c r="F144" cm="1">
        <f t="array" ref="F144">mynormsinv(D144)</f>
        <v>0.13830420796226528</v>
      </c>
      <c r="I144">
        <f t="shared" si="5"/>
        <v>0.55500000000000038</v>
      </c>
      <c r="J144">
        <f t="shared" si="6"/>
        <v>-8.5978446584533685E-13</v>
      </c>
    </row>
    <row r="145" spans="4:10" x14ac:dyDescent="0.3">
      <c r="D145">
        <f t="shared" si="7"/>
        <v>0.56000000000000039</v>
      </c>
      <c r="E145">
        <f t="shared" si="4"/>
        <v>0.15096921549677825</v>
      </c>
      <c r="F145" cm="1">
        <f t="array" ref="F145">mynormsinv(D145)</f>
        <v>0.15096921547331482</v>
      </c>
      <c r="I145">
        <f t="shared" si="5"/>
        <v>0.56000000000000039</v>
      </c>
      <c r="J145">
        <f t="shared" si="6"/>
        <v>2.3463425646852443E-11</v>
      </c>
    </row>
    <row r="146" spans="4:10" x14ac:dyDescent="0.3">
      <c r="D146">
        <f t="shared" si="7"/>
        <v>0.56500000000000039</v>
      </c>
      <c r="E146">
        <f t="shared" si="4"/>
        <v>0.16365848623314225</v>
      </c>
      <c r="F146" cm="1">
        <f t="array" ref="F146">mynormsinv(D146)</f>
        <v>0.16365848618171214</v>
      </c>
      <c r="I146">
        <f t="shared" si="5"/>
        <v>0.56500000000000039</v>
      </c>
      <c r="J146">
        <f t="shared" si="6"/>
        <v>5.143011017061383E-11</v>
      </c>
    </row>
    <row r="147" spans="4:10" x14ac:dyDescent="0.3">
      <c r="D147">
        <f t="shared" si="7"/>
        <v>0.5700000000000004</v>
      </c>
      <c r="E147">
        <f t="shared" si="4"/>
        <v>0.17637416478086232</v>
      </c>
      <c r="F147" cm="1">
        <f t="array" ref="F147">mynormsinv(D147)</f>
        <v>0.1763741646984967</v>
      </c>
      <c r="I147">
        <f t="shared" si="5"/>
        <v>0.5700000000000004</v>
      </c>
      <c r="J147">
        <f t="shared" si="6"/>
        <v>8.2365614328949732E-11</v>
      </c>
    </row>
    <row r="148" spans="4:10" x14ac:dyDescent="0.3">
      <c r="D148">
        <f t="shared" si="7"/>
        <v>0.5750000000000004</v>
      </c>
      <c r="E148">
        <f t="shared" si="4"/>
        <v>0.18911842627279352</v>
      </c>
      <c r="F148" cm="1">
        <f t="array" ref="F148">mynormsinv(D148)</f>
        <v>0.18911842615735083</v>
      </c>
      <c r="I148">
        <f t="shared" si="5"/>
        <v>0.5750000000000004</v>
      </c>
      <c r="J148">
        <f t="shared" si="6"/>
        <v>1.1544268319063633E-10</v>
      </c>
    </row>
    <row r="149" spans="4:10" x14ac:dyDescent="0.3">
      <c r="D149">
        <f t="shared" si="7"/>
        <v>0.5800000000000004</v>
      </c>
      <c r="E149">
        <f t="shared" si="4"/>
        <v>0.20189347914185188</v>
      </c>
      <c r="F149" cm="1">
        <f t="array" ref="F149">mynormsinv(D149)</f>
        <v>0.20189347899215357</v>
      </c>
      <c r="I149">
        <f t="shared" si="5"/>
        <v>0.5800000000000004</v>
      </c>
      <c r="J149">
        <f t="shared" si="6"/>
        <v>1.4969830930411376E-10</v>
      </c>
    </row>
    <row r="150" spans="4:10" x14ac:dyDescent="0.3">
      <c r="D150">
        <f t="shared" si="7"/>
        <v>0.58500000000000041</v>
      </c>
      <c r="E150">
        <f t="shared" si="4"/>
        <v>0.21470156800174559</v>
      </c>
      <c r="F150" cm="1">
        <f t="array" ref="F150">mynormsinv(D150)</f>
        <v>0.21470156781769062</v>
      </c>
      <c r="I150">
        <f t="shared" si="5"/>
        <v>0.58500000000000041</v>
      </c>
      <c r="J150">
        <f t="shared" si="6"/>
        <v>1.8405496571283209E-10</v>
      </c>
    </row>
    <row r="151" spans="4:10" x14ac:dyDescent="0.3">
      <c r="D151">
        <f t="shared" si="7"/>
        <v>0.59000000000000041</v>
      </c>
      <c r="E151">
        <f t="shared" si="4"/>
        <v>0.22754497664115048</v>
      </c>
      <c r="F151" cm="1">
        <f t="array" ref="F151">mynormsinv(D151)</f>
        <v>0.22754497642380453</v>
      </c>
      <c r="I151">
        <f t="shared" si="5"/>
        <v>0.59000000000000041</v>
      </c>
      <c r="J151">
        <f t="shared" si="6"/>
        <v>2.1734594679578834E-10</v>
      </c>
    </row>
    <row r="152" spans="4:10" x14ac:dyDescent="0.3">
      <c r="D152">
        <f t="shared" si="7"/>
        <v>0.59500000000000042</v>
      </c>
      <c r="E152">
        <f t="shared" si="4"/>
        <v>0.24042603114230904</v>
      </c>
      <c r="F152" cm="1">
        <f t="array" ref="F152">mynormsinv(D152)</f>
        <v>0.24042603089396358</v>
      </c>
      <c r="I152">
        <f t="shared" si="5"/>
        <v>0.59500000000000042</v>
      </c>
      <c r="J152">
        <f t="shared" si="6"/>
        <v>2.4834545531149388E-10</v>
      </c>
    </row>
    <row r="153" spans="4:10" x14ac:dyDescent="0.3">
      <c r="D153">
        <f t="shared" si="7"/>
        <v>0.60000000000000042</v>
      </c>
      <c r="E153">
        <f t="shared" si="4"/>
        <v>0.25334710313580094</v>
      </c>
      <c r="F153" cm="1">
        <f t="array" ref="F153">mynormsinv(D153)</f>
        <v>0.25334710285999973</v>
      </c>
      <c r="I153">
        <f t="shared" si="5"/>
        <v>0.60000000000000042</v>
      </c>
      <c r="J153">
        <f t="shared" si="6"/>
        <v>2.7580121519932277E-10</v>
      </c>
    </row>
    <row r="154" spans="4:10" x14ac:dyDescent="0.3">
      <c r="D154">
        <f t="shared" si="7"/>
        <v>0.60500000000000043</v>
      </c>
      <c r="E154">
        <f t="shared" si="4"/>
        <v>0.2663106132040961</v>
      </c>
      <c r="F154" cm="1">
        <f t="array" ref="F154">mynormsinv(D154)</f>
        <v>0.26631061290562535</v>
      </c>
      <c r="I154">
        <f t="shared" si="5"/>
        <v>0.60500000000000043</v>
      </c>
      <c r="J154">
        <f t="shared" si="6"/>
        <v>2.9847074811684138E-10</v>
      </c>
    </row>
    <row r="155" spans="4:10" x14ac:dyDescent="0.3">
      <c r="D155">
        <f t="shared" si="7"/>
        <v>0.61000000000000043</v>
      </c>
      <c r="E155">
        <f t="shared" si="4"/>
        <v>0.27931903444745532</v>
      </c>
      <c r="F155" cm="1">
        <f t="array" ref="F155">mynormsinv(D155)</f>
        <v>0.27931903413229531</v>
      </c>
      <c r="I155">
        <f t="shared" si="5"/>
        <v>0.61000000000000043</v>
      </c>
      <c r="J155">
        <f t="shared" si="6"/>
        <v>3.1516000920106535E-10</v>
      </c>
    </row>
    <row r="156" spans="4:10" x14ac:dyDescent="0.3">
      <c r="D156">
        <f t="shared" si="7"/>
        <v>0.61500000000000044</v>
      </c>
      <c r="E156">
        <f t="shared" si="4"/>
        <v>0.29237489622680535</v>
      </c>
      <c r="F156" cm="1">
        <f t="array" ref="F156">mynormsinv(D156)</f>
        <v>0.29237489590204241</v>
      </c>
      <c r="I156">
        <f t="shared" si="5"/>
        <v>0.61500000000000044</v>
      </c>
      <c r="J156">
        <f t="shared" si="6"/>
        <v>3.2476293876371187E-10</v>
      </c>
    </row>
    <row r="157" spans="4:10" x14ac:dyDescent="0.3">
      <c r="D157">
        <f t="shared" si="7"/>
        <v>0.62000000000000044</v>
      </c>
      <c r="E157">
        <f t="shared" si="4"/>
        <v>0.30548078809939849</v>
      </c>
      <c r="F157" cm="1">
        <f t="array" ref="F157">mynormsinv(D157)</f>
        <v>0.30548078777309651</v>
      </c>
      <c r="I157">
        <f t="shared" si="5"/>
        <v>0.62000000000000044</v>
      </c>
      <c r="J157">
        <f t="shared" si="6"/>
        <v>3.263019854315985E-10</v>
      </c>
    </row>
    <row r="158" spans="4:10" x14ac:dyDescent="0.3">
      <c r="D158">
        <f t="shared" si="7"/>
        <v>0.62500000000000044</v>
      </c>
      <c r="E158">
        <f t="shared" si="4"/>
        <v>0.31863936396437637</v>
      </c>
      <c r="F158" cm="1">
        <f t="array" ref="F158">mynormsinv(D158)</f>
        <v>0.31863936364540801</v>
      </c>
      <c r="I158">
        <f t="shared" si="5"/>
        <v>0.62500000000000044</v>
      </c>
      <c r="J158">
        <f t="shared" si="6"/>
        <v>3.1896835173128579E-10</v>
      </c>
    </row>
    <row r="159" spans="4:10" x14ac:dyDescent="0.3">
      <c r="D159">
        <f t="shared" si="7"/>
        <v>0.63000000000000045</v>
      </c>
      <c r="E159">
        <f t="shared" si="4"/>
        <v>0.3318533464368178</v>
      </c>
      <c r="F159" cm="1">
        <f t="array" ref="F159">mynormsinv(D159)</f>
        <v>0.33185334613465739</v>
      </c>
      <c r="I159">
        <f t="shared" si="5"/>
        <v>0.63000000000000045</v>
      </c>
      <c r="J159">
        <f t="shared" si="6"/>
        <v>3.0216040780572939E-10</v>
      </c>
    </row>
    <row r="160" spans="4:10" x14ac:dyDescent="0.3">
      <c r="D160">
        <f t="shared" si="7"/>
        <v>0.63500000000000045</v>
      </c>
      <c r="E160">
        <f t="shared" si="4"/>
        <v>0.34512553147047359</v>
      </c>
      <c r="F160" cm="1">
        <f t="array" ref="F160">mynormsinv(D160)</f>
        <v>0.34512553119495359</v>
      </c>
      <c r="I160">
        <f t="shared" si="5"/>
        <v>0.63500000000000045</v>
      </c>
      <c r="J160">
        <f t="shared" si="6"/>
        <v>2.7551999570718522E-10</v>
      </c>
    </row>
    <row r="161" spans="4:10" x14ac:dyDescent="0.3">
      <c r="D161">
        <f t="shared" si="7"/>
        <v>0.64000000000000046</v>
      </c>
      <c r="E161">
        <f t="shared" si="4"/>
        <v>0.35845879325119501</v>
      </c>
      <c r="F161" cm="1">
        <f t="array" ref="F161">mynormsinv(D161)</f>
        <v>0.35845879301223055</v>
      </c>
      <c r="I161">
        <f t="shared" si="5"/>
        <v>0.64000000000000046</v>
      </c>
      <c r="J161">
        <f t="shared" si="6"/>
        <v>2.3896445933146993E-10</v>
      </c>
    </row>
    <row r="162" spans="4:10" x14ac:dyDescent="0.3">
      <c r="D162">
        <f t="shared" si="7"/>
        <v>0.64500000000000046</v>
      </c>
      <c r="E162">
        <f t="shared" si="4"/>
        <v>0.37185608938507597</v>
      </c>
      <c r="F162" cm="1">
        <f t="array" ref="F162">mynormsinv(D162)</f>
        <v>0.37185608919236168</v>
      </c>
      <c r="I162">
        <f t="shared" si="5"/>
        <v>0.64500000000000046</v>
      </c>
      <c r="J162">
        <f t="shared" si="6"/>
        <v>1.9271428897127407E-10</v>
      </c>
    </row>
    <row r="163" spans="4:10" x14ac:dyDescent="0.3">
      <c r="D163">
        <f t="shared" si="7"/>
        <v>0.65000000000000047</v>
      </c>
      <c r="E163">
        <f t="shared" ref="E163:E226" si="8">NORMSINV(D163)</f>
        <v>0.38532046640756895</v>
      </c>
      <c r="F163" cm="1">
        <f t="array" ref="F163">mynormsinv(D163)</f>
        <v>0.3853204662702554</v>
      </c>
      <c r="I163">
        <f t="shared" ref="I163:I226" si="9">D163</f>
        <v>0.65000000000000047</v>
      </c>
      <c r="J163">
        <f t="shared" ref="J163:J226" si="10">E163-F163</f>
        <v>1.3731354941981522E-10</v>
      </c>
    </row>
    <row r="164" spans="4:10" x14ac:dyDescent="0.3">
      <c r="D164">
        <f t="shared" ref="D164:D227" si="11">D163+0.005</f>
        <v>0.65500000000000047</v>
      </c>
      <c r="E164">
        <f t="shared" si="8"/>
        <v>0.39885506564233808</v>
      </c>
      <c r="F164" cm="1">
        <f t="array" ref="F164">mynormsinv(D164)</f>
        <v>0.39885506556869416</v>
      </c>
      <c r="I164">
        <f t="shared" si="9"/>
        <v>0.65500000000000047</v>
      </c>
      <c r="J164">
        <f t="shared" si="10"/>
        <v>7.3643924292099427E-11</v>
      </c>
    </row>
    <row r="165" spans="4:10" x14ac:dyDescent="0.3">
      <c r="D165">
        <f t="shared" si="11"/>
        <v>0.66000000000000048</v>
      </c>
      <c r="E165">
        <f t="shared" si="8"/>
        <v>0.41246312944140606</v>
      </c>
      <c r="F165" cm="1">
        <f t="array" ref="F165">mynormsinv(D165)</f>
        <v>0.41246312943847696</v>
      </c>
      <c r="I165">
        <f t="shared" si="9"/>
        <v>0.66000000000000048</v>
      </c>
      <c r="J165">
        <f t="shared" si="10"/>
        <v>2.9291014058685505E-12</v>
      </c>
    </row>
    <row r="166" spans="4:10" x14ac:dyDescent="0.3">
      <c r="D166">
        <f t="shared" si="11"/>
        <v>0.66500000000000048</v>
      </c>
      <c r="E166">
        <f t="shared" si="8"/>
        <v>0.4261480078412796</v>
      </c>
      <c r="F166" cm="1">
        <f t="array" ref="F166">mynormsinv(D166)</f>
        <v>0.42614800791454938</v>
      </c>
      <c r="I166">
        <f t="shared" si="9"/>
        <v>0.66500000000000048</v>
      </c>
      <c r="J166">
        <f t="shared" si="10"/>
        <v>-7.326977913280075E-11</v>
      </c>
    </row>
    <row r="167" spans="4:10" x14ac:dyDescent="0.3">
      <c r="D167">
        <f t="shared" si="11"/>
        <v>0.67000000000000048</v>
      </c>
      <c r="E167">
        <f t="shared" si="8"/>
        <v>0.43991316567323524</v>
      </c>
      <c r="F167" cm="1">
        <f t="array" ref="F167">mynormsinv(D167)</f>
        <v>0.4399131658263063</v>
      </c>
      <c r="I167">
        <f t="shared" si="9"/>
        <v>0.67000000000000048</v>
      </c>
      <c r="J167">
        <f t="shared" si="10"/>
        <v>-1.5307105583062253E-10</v>
      </c>
    </row>
    <row r="168" spans="4:10" x14ac:dyDescent="0.3">
      <c r="D168">
        <f t="shared" si="11"/>
        <v>0.67500000000000049</v>
      </c>
      <c r="E168">
        <f t="shared" si="8"/>
        <v>0.45376219016988084</v>
      </c>
      <c r="F168" cm="1">
        <f t="array" ref="F168">mynormsinv(D168)</f>
        <v>0.45376219040417992</v>
      </c>
      <c r="I168">
        <f t="shared" si="9"/>
        <v>0.67500000000000049</v>
      </c>
      <c r="J168">
        <f t="shared" si="10"/>
        <v>-2.3429908013739009E-10</v>
      </c>
    </row>
    <row r="169" spans="4:10" x14ac:dyDescent="0.3">
      <c r="D169">
        <f t="shared" si="11"/>
        <v>0.68000000000000049</v>
      </c>
      <c r="E169">
        <f t="shared" si="8"/>
        <v>0.46769879911450968</v>
      </c>
      <c r="F169" cm="1">
        <f t="array" ref="F169">mynormsinv(D169)</f>
        <v>0.46769879942903425</v>
      </c>
      <c r="I169">
        <f t="shared" si="9"/>
        <v>0.68000000000000049</v>
      </c>
      <c r="J169">
        <f t="shared" si="10"/>
        <v>-3.1452457305292114E-10</v>
      </c>
    </row>
    <row r="170" spans="4:10" x14ac:dyDescent="0.3">
      <c r="D170">
        <f t="shared" si="11"/>
        <v>0.6850000000000005</v>
      </c>
      <c r="E170">
        <f t="shared" si="8"/>
        <v>0.48172684958473161</v>
      </c>
      <c r="F170" cm="1">
        <f t="array" ref="F170">mynormsinv(D170)</f>
        <v>0.48172684997584936</v>
      </c>
      <c r="I170">
        <f t="shared" si="9"/>
        <v>0.6850000000000005</v>
      </c>
      <c r="J170">
        <f t="shared" si="10"/>
        <v>-3.9111774929878607E-10</v>
      </c>
    </row>
    <row r="171" spans="4:10" x14ac:dyDescent="0.3">
      <c r="D171">
        <f t="shared" si="11"/>
        <v>0.6900000000000005</v>
      </c>
      <c r="E171">
        <f t="shared" si="8"/>
        <v>0.49585034734745487</v>
      </c>
      <c r="F171" cm="1">
        <f t="array" ref="F171">mynormsinv(D171)</f>
        <v>0.49585034780876774</v>
      </c>
      <c r="I171">
        <f t="shared" si="9"/>
        <v>0.6900000000000005</v>
      </c>
      <c r="J171">
        <f t="shared" si="10"/>
        <v>-4.6131287678718991E-10</v>
      </c>
    </row>
    <row r="172" spans="4:10" x14ac:dyDescent="0.3">
      <c r="D172">
        <f t="shared" si="11"/>
        <v>0.69500000000000051</v>
      </c>
      <c r="E172">
        <f t="shared" si="8"/>
        <v>0.51007345696859629</v>
      </c>
      <c r="F172" cm="1">
        <f t="array" ref="F172">mynormsinv(D172)</f>
        <v>0.5100734574908844</v>
      </c>
      <c r="I172">
        <f t="shared" si="9"/>
        <v>0.69500000000000051</v>
      </c>
      <c r="J172">
        <f t="shared" si="10"/>
        <v>-5.222881016564429E-10</v>
      </c>
    </row>
    <row r="173" spans="4:10" x14ac:dyDescent="0.3">
      <c r="D173">
        <f t="shared" si="11"/>
        <v>0.70000000000000051</v>
      </c>
      <c r="E173">
        <f t="shared" si="8"/>
        <v>0.52440051270804233</v>
      </c>
      <c r="F173" cm="1">
        <f t="array" ref="F173">mynormsinv(D173)</f>
        <v>0.52440051327929571</v>
      </c>
      <c r="I173">
        <f t="shared" si="9"/>
        <v>0.70000000000000051</v>
      </c>
      <c r="J173">
        <f t="shared" si="10"/>
        <v>-5.7125337793451081E-10</v>
      </c>
    </row>
    <row r="174" spans="4:10" x14ac:dyDescent="0.3">
      <c r="D174">
        <f t="shared" si="11"/>
        <v>0.70500000000000052</v>
      </c>
      <c r="E174">
        <f t="shared" si="8"/>
        <v>0.53883603027845173</v>
      </c>
      <c r="F174" cm="1">
        <f t="array" ref="F174">mynormsinv(D174)</f>
        <v>0.53883603088400411</v>
      </c>
      <c r="I174">
        <f t="shared" si="9"/>
        <v>0.70500000000000052</v>
      </c>
      <c r="J174">
        <f t="shared" si="10"/>
        <v>-6.0555238601267547E-10</v>
      </c>
    </row>
    <row r="175" spans="4:10" x14ac:dyDescent="0.3">
      <c r="D175">
        <f t="shared" si="11"/>
        <v>0.71000000000000052</v>
      </c>
      <c r="E175">
        <f t="shared" si="8"/>
        <v>0.55338471955567436</v>
      </c>
      <c r="F175" cm="1">
        <f t="array" ref="F175">mynormsinv(D175)</f>
        <v>0.55338472017844542</v>
      </c>
      <c r="I175">
        <f t="shared" si="9"/>
        <v>0.71000000000000052</v>
      </c>
      <c r="J175">
        <f t="shared" si="10"/>
        <v>-6.2277105694619195E-10</v>
      </c>
    </row>
    <row r="176" spans="4:10" x14ac:dyDescent="0.3">
      <c r="D176">
        <f t="shared" si="11"/>
        <v>0.71500000000000052</v>
      </c>
      <c r="E176">
        <f t="shared" si="8"/>
        <v>0.56805149833898427</v>
      </c>
      <c r="F176" cm="1">
        <f t="array" ref="F176">mynormsinv(D176)</f>
        <v>0.56805149895983809</v>
      </c>
      <c r="I176">
        <f t="shared" si="9"/>
        <v>0.71500000000000052</v>
      </c>
      <c r="J176">
        <f t="shared" si="10"/>
        <v>-6.2085381280496676E-10</v>
      </c>
    </row>
    <row r="177" spans="4:10" x14ac:dyDescent="0.3">
      <c r="D177">
        <f t="shared" si="11"/>
        <v>0.72000000000000053</v>
      </c>
      <c r="E177">
        <f t="shared" si="8"/>
        <v>0.58284150727121786</v>
      </c>
      <c r="F177" cm="1">
        <f t="array" ref="F177">mynormsinv(D177)</f>
        <v>0.58284150786943978</v>
      </c>
      <c r="I177">
        <f t="shared" si="9"/>
        <v>0.72000000000000053</v>
      </c>
      <c r="J177">
        <f t="shared" si="10"/>
        <v>-5.9822191644798295E-10</v>
      </c>
    </row>
    <row r="178" spans="4:10" x14ac:dyDescent="0.3">
      <c r="D178">
        <f t="shared" si="11"/>
        <v>0.72500000000000053</v>
      </c>
      <c r="E178">
        <f t="shared" si="8"/>
        <v>0.59776012604248008</v>
      </c>
      <c r="F178" cm="1">
        <f t="array" ref="F178">mynormsinv(D178)</f>
        <v>0.5977601265963729</v>
      </c>
      <c r="I178">
        <f t="shared" si="9"/>
        <v>0.72500000000000053</v>
      </c>
      <c r="J178">
        <f t="shared" si="10"/>
        <v>-5.5389282049844724E-10</v>
      </c>
    </row>
    <row r="179" spans="4:10" x14ac:dyDescent="0.3">
      <c r="D179">
        <f t="shared" si="11"/>
        <v>0.73000000000000054</v>
      </c>
      <c r="E179">
        <f t="shared" si="8"/>
        <v>0.61281299101662901</v>
      </c>
      <c r="F179" cm="1">
        <f t="array" ref="F179">mynormsinv(D179)</f>
        <v>0.61281299150422197</v>
      </c>
      <c r="I179">
        <f t="shared" si="9"/>
        <v>0.73000000000000054</v>
      </c>
      <c r="J179">
        <f t="shared" si="10"/>
        <v>-4.8759296600309199E-10</v>
      </c>
    </row>
    <row r="180" spans="4:10" x14ac:dyDescent="0.3">
      <c r="D180">
        <f t="shared" si="11"/>
        <v>0.73500000000000054</v>
      </c>
      <c r="E180">
        <f t="shared" si="8"/>
        <v>0.62800601443757131</v>
      </c>
      <c r="F180" cm="1">
        <f t="array" ref="F180">mynormsinv(D180)</f>
        <v>0.62800601483743368</v>
      </c>
      <c r="I180">
        <f t="shared" si="9"/>
        <v>0.73500000000000054</v>
      </c>
      <c r="J180">
        <f t="shared" si="10"/>
        <v>-3.9986236544109488E-10</v>
      </c>
    </row>
    <row r="181" spans="4:10" x14ac:dyDescent="0.3">
      <c r="D181">
        <f t="shared" si="11"/>
        <v>0.74000000000000055</v>
      </c>
      <c r="E181">
        <f t="shared" si="8"/>
        <v>0.64334540539291862</v>
      </c>
      <c r="F181" cm="1">
        <f t="array" ref="F181">mynormsinv(D181)</f>
        <v>0.64334540568505894</v>
      </c>
      <c r="I181">
        <f t="shared" si="9"/>
        <v>0.74000000000000055</v>
      </c>
      <c r="J181">
        <f t="shared" si="10"/>
        <v>-2.9214031194157997E-10</v>
      </c>
    </row>
    <row r="182" spans="4:10" x14ac:dyDescent="0.3">
      <c r="D182">
        <f t="shared" si="11"/>
        <v>0.74500000000000055</v>
      </c>
      <c r="E182">
        <f t="shared" si="8"/>
        <v>0.65883769273618931</v>
      </c>
      <c r="F182" cm="1">
        <f t="array" ref="F182">mynormsinv(D182)</f>
        <v>0.6588376929030203</v>
      </c>
      <c r="I182">
        <f t="shared" si="9"/>
        <v>0.74500000000000055</v>
      </c>
      <c r="J182">
        <f t="shared" si="10"/>
        <v>-1.6683099346437302E-10</v>
      </c>
    </row>
    <row r="183" spans="4:10" x14ac:dyDescent="0.3">
      <c r="D183">
        <f t="shared" si="11"/>
        <v>0.75000000000000056</v>
      </c>
      <c r="E183">
        <f t="shared" si="8"/>
        <v>0.67448975019608348</v>
      </c>
      <c r="F183" cm="1">
        <f t="array" ref="F183">mynormsinv(D183)</f>
        <v>0.67448975022342117</v>
      </c>
      <c r="I183">
        <f t="shared" si="9"/>
        <v>0.75000000000000056</v>
      </c>
      <c r="J183">
        <f t="shared" si="10"/>
        <v>-2.7337687669160005E-11</v>
      </c>
    </row>
    <row r="184" spans="4:10" x14ac:dyDescent="0.3">
      <c r="D184">
        <f t="shared" si="11"/>
        <v>0.75500000000000056</v>
      </c>
      <c r="E184">
        <f t="shared" si="8"/>
        <v>0.69030882393303605</v>
      </c>
      <c r="F184" cm="1">
        <f t="array" ref="F184">mynormsinv(D184)</f>
        <v>0.69030882381109648</v>
      </c>
      <c r="I184">
        <f t="shared" si="9"/>
        <v>0.75500000000000056</v>
      </c>
      <c r="J184">
        <f t="shared" si="10"/>
        <v>1.2193956955286467E-10</v>
      </c>
    </row>
    <row r="185" spans="4:10" x14ac:dyDescent="0.3">
      <c r="D185">
        <f t="shared" si="11"/>
        <v>0.76000000000000056</v>
      </c>
      <c r="E185">
        <f t="shared" si="8"/>
        <v>0.70630256284008919</v>
      </c>
      <c r="F185" cm="1">
        <f t="array" ref="F185">mynormsinv(D185)</f>
        <v>0.7063025625644388</v>
      </c>
      <c r="I185">
        <f t="shared" si="9"/>
        <v>0.76000000000000056</v>
      </c>
      <c r="J185">
        <f t="shared" si="10"/>
        <v>2.7565039140142744E-10</v>
      </c>
    </row>
    <row r="186" spans="4:10" x14ac:dyDescent="0.3">
      <c r="D186">
        <f t="shared" si="11"/>
        <v>0.76500000000000057</v>
      </c>
      <c r="E186">
        <f t="shared" si="8"/>
        <v>0.72247905192806416</v>
      </c>
      <c r="F186" cm="1">
        <f t="array" ref="F186">mynormsinv(D186)</f>
        <v>0.72247905150046676</v>
      </c>
      <c r="I186">
        <f t="shared" si="9"/>
        <v>0.76500000000000057</v>
      </c>
      <c r="J186">
        <f t="shared" si="10"/>
        <v>4.2759740193076823E-10</v>
      </c>
    </row>
    <row r="187" spans="4:10" x14ac:dyDescent="0.3">
      <c r="D187">
        <f t="shared" si="11"/>
        <v>0.77000000000000057</v>
      </c>
      <c r="E187">
        <f t="shared" si="8"/>
        <v>0.73884684918521537</v>
      </c>
      <c r="F187" cm="1">
        <f t="array" ref="F187">mynormsinv(D187)</f>
        <v>0.73884684861432459</v>
      </c>
      <c r="I187">
        <f t="shared" si="9"/>
        <v>0.77000000000000057</v>
      </c>
      <c r="J187">
        <f t="shared" si="10"/>
        <v>5.7089077909466823E-10</v>
      </c>
    </row>
    <row r="188" spans="4:10" x14ac:dyDescent="0.3">
      <c r="D188">
        <f t="shared" si="11"/>
        <v>0.77500000000000058</v>
      </c>
      <c r="E188">
        <f t="shared" si="8"/>
        <v>0.7554150263604712</v>
      </c>
      <c r="F188" cm="1">
        <f t="array" ref="F188">mynormsinv(D188)</f>
        <v>0.75541502566229823</v>
      </c>
      <c r="I188">
        <f t="shared" si="9"/>
        <v>0.77500000000000058</v>
      </c>
      <c r="J188">
        <f t="shared" si="10"/>
        <v>6.9817296388663408E-10</v>
      </c>
    </row>
    <row r="189" spans="4:10" x14ac:dyDescent="0.3">
      <c r="D189">
        <f t="shared" si="11"/>
        <v>0.78000000000000058</v>
      </c>
      <c r="E189">
        <f t="shared" si="8"/>
        <v>0.77219321418868669</v>
      </c>
      <c r="F189" cm="1">
        <f t="array" ref="F189">mynormsinv(D189)</f>
        <v>0.77219321338677827</v>
      </c>
      <c r="I189">
        <f t="shared" si="9"/>
        <v>0.78000000000000058</v>
      </c>
      <c r="J189">
        <f t="shared" si="10"/>
        <v>8.0190842854932498E-10</v>
      </c>
    </row>
    <row r="190" spans="4:10" x14ac:dyDescent="0.3">
      <c r="D190">
        <f t="shared" si="11"/>
        <v>0.78500000000000059</v>
      </c>
      <c r="E190">
        <f t="shared" si="8"/>
        <v>0.78919165265822455</v>
      </c>
      <c r="F190" cm="1">
        <f t="array" ref="F190">mynormsinv(D190)</f>
        <v>0.78919165178348127</v>
      </c>
      <c r="I190">
        <f t="shared" si="9"/>
        <v>0.78500000000000059</v>
      </c>
      <c r="J190">
        <f t="shared" si="10"/>
        <v>8.7474327781222883E-10</v>
      </c>
    </row>
    <row r="191" spans="4:10" x14ac:dyDescent="0.3">
      <c r="D191">
        <f t="shared" si="11"/>
        <v>0.79000000000000059</v>
      </c>
      <c r="E191">
        <f t="shared" si="8"/>
        <v>0.80642124701824247</v>
      </c>
      <c r="F191" cm="1">
        <f t="array" ref="F191">mynormsinv(D191)</f>
        <v>0.80642124610831445</v>
      </c>
      <c r="I191">
        <f t="shared" si="9"/>
        <v>0.79000000000000059</v>
      </c>
      <c r="J191">
        <f t="shared" si="10"/>
        <v>9.0992802181943944E-10</v>
      </c>
    </row>
    <row r="192" spans="4:10" x14ac:dyDescent="0.3">
      <c r="D192">
        <f t="shared" si="11"/>
        <v>0.7950000000000006</v>
      </c>
      <c r="E192">
        <f t="shared" si="8"/>
        <v>0.82389363033855911</v>
      </c>
      <c r="F192" cm="1">
        <f t="array" ref="F192">mynormsinv(D192)</f>
        <v>0.82389362943675992</v>
      </c>
      <c r="I192">
        <f t="shared" si="9"/>
        <v>0.7950000000000006</v>
      </c>
      <c r="J192">
        <f t="shared" si="10"/>
        <v>9.0179919087773897E-10</v>
      </c>
    </row>
    <row r="193" spans="4:10" x14ac:dyDescent="0.3">
      <c r="D193">
        <f t="shared" si="11"/>
        <v>0.8000000000000006</v>
      </c>
      <c r="E193">
        <f t="shared" si="8"/>
        <v>0.84162123357291629</v>
      </c>
      <c r="F193" cm="1">
        <f t="array" ref="F193">mynormsinv(D193)</f>
        <v>0.8416212327266116</v>
      </c>
      <c r="I193">
        <f t="shared" si="9"/>
        <v>0.8000000000000006</v>
      </c>
      <c r="J193">
        <f t="shared" si="10"/>
        <v>8.4630469299185052E-10</v>
      </c>
    </row>
    <row r="194" spans="4:10" x14ac:dyDescent="0.3">
      <c r="D194">
        <f t="shared" si="11"/>
        <v>0.8050000000000006</v>
      </c>
      <c r="E194">
        <f t="shared" si="8"/>
        <v>0.85961736424191304</v>
      </c>
      <c r="F194" cm="1">
        <f t="array" ref="F194">mynormsinv(D194)</f>
        <v>0.85961736350036866</v>
      </c>
      <c r="I194">
        <f t="shared" si="9"/>
        <v>0.8050000000000006</v>
      </c>
      <c r="J194">
        <f t="shared" si="10"/>
        <v>7.4154438145512813E-10</v>
      </c>
    </row>
    <row r="195" spans="4:10" x14ac:dyDescent="0.3">
      <c r="D195">
        <f t="shared" si="11"/>
        <v>0.81000000000000061</v>
      </c>
      <c r="E195">
        <f t="shared" si="8"/>
        <v>0.87789629505123135</v>
      </c>
      <c r="F195" cm="1">
        <f t="array" ref="F195">mynormsinv(D195)</f>
        <v>0.87789629446291806</v>
      </c>
      <c r="I195">
        <f t="shared" si="9"/>
        <v>0.81000000000000061</v>
      </c>
      <c r="J195">
        <f t="shared" si="10"/>
        <v>5.8831328697550589E-10</v>
      </c>
    </row>
    <row r="196" spans="4:10" x14ac:dyDescent="0.3">
      <c r="D196">
        <f t="shared" si="11"/>
        <v>0.81500000000000061</v>
      </c>
      <c r="E196">
        <f t="shared" si="8"/>
        <v>0.89647336400191857</v>
      </c>
      <c r="F196" cm="1">
        <f t="array" ref="F196">mynormsinv(D196)</f>
        <v>0.89647336361134278</v>
      </c>
      <c r="I196">
        <f t="shared" si="9"/>
        <v>0.81500000000000061</v>
      </c>
      <c r="J196">
        <f t="shared" si="10"/>
        <v>3.905757939293153E-10</v>
      </c>
    </row>
    <row r="197" spans="4:10" x14ac:dyDescent="0.3">
      <c r="D197">
        <f t="shared" si="11"/>
        <v>0.82000000000000062</v>
      </c>
      <c r="E197">
        <f t="shared" si="8"/>
        <v>0.91536508784281612</v>
      </c>
      <c r="F197" cm="1">
        <f t="array" ref="F197">mynormsinv(D197)</f>
        <v>0.91536508768695313</v>
      </c>
      <c r="I197">
        <f t="shared" si="9"/>
        <v>0.82000000000000062</v>
      </c>
      <c r="J197">
        <f t="shared" si="10"/>
        <v>1.5586298918179864E-10</v>
      </c>
    </row>
    <row r="198" spans="4:10" x14ac:dyDescent="0.3">
      <c r="D198">
        <f t="shared" si="11"/>
        <v>0.82500000000000062</v>
      </c>
      <c r="E198">
        <f t="shared" si="8"/>
        <v>0.9345892910734831</v>
      </c>
      <c r="F198" cm="1">
        <f t="array" ref="F198">mynormsinv(D198)</f>
        <v>0.9345892911779965</v>
      </c>
      <c r="I198">
        <f t="shared" si="9"/>
        <v>0.82500000000000062</v>
      </c>
      <c r="J198">
        <f t="shared" si="10"/>
        <v>-1.0451339793604575E-10</v>
      </c>
    </row>
    <row r="199" spans="4:10" x14ac:dyDescent="0.3">
      <c r="D199">
        <f t="shared" si="11"/>
        <v>0.83000000000000063</v>
      </c>
      <c r="E199">
        <f t="shared" si="8"/>
        <v>0.9541652531461956</v>
      </c>
      <c r="F199" cm="1">
        <f t="array" ref="F199">mynormsinv(D199)</f>
        <v>0.95416525352167481</v>
      </c>
      <c r="I199">
        <f t="shared" si="9"/>
        <v>0.83000000000000063</v>
      </c>
      <c r="J199">
        <f t="shared" si="10"/>
        <v>-3.7547920328506734E-10</v>
      </c>
    </row>
    <row r="200" spans="4:10" x14ac:dyDescent="0.3">
      <c r="D200">
        <f t="shared" si="11"/>
        <v>0.83500000000000063</v>
      </c>
      <c r="E200">
        <f t="shared" si="8"/>
        <v>0.97411387705931207</v>
      </c>
      <c r="F200" cm="1">
        <f t="array" ref="F200">mynormsinv(D200)</f>
        <v>0.97411387769782465</v>
      </c>
      <c r="I200">
        <f t="shared" si="9"/>
        <v>0.83500000000000063</v>
      </c>
      <c r="J200">
        <f t="shared" si="10"/>
        <v>-6.3851257614544465E-10</v>
      </c>
    </row>
    <row r="201" spans="4:10" x14ac:dyDescent="0.3">
      <c r="D201">
        <f t="shared" si="11"/>
        <v>0.84000000000000064</v>
      </c>
      <c r="E201">
        <f t="shared" si="8"/>
        <v>0.99445788320975548</v>
      </c>
      <c r="F201" cm="1">
        <f t="array" ref="F201">mynormsinv(D201)</f>
        <v>0.99445788408215074</v>
      </c>
      <c r="I201">
        <f t="shared" si="9"/>
        <v>0.84000000000000064</v>
      </c>
      <c r="J201">
        <f t="shared" si="10"/>
        <v>-8.7239526713744908E-10</v>
      </c>
    </row>
    <row r="202" spans="4:10" x14ac:dyDescent="0.3">
      <c r="D202">
        <f t="shared" si="11"/>
        <v>0.84500000000000064</v>
      </c>
      <c r="E202">
        <f t="shared" si="8"/>
        <v>1.0152220332170299</v>
      </c>
      <c r="F202" cm="1">
        <f t="array" ref="F202">mynormsinv(D202)</f>
        <v>1.0152220342714242</v>
      </c>
      <c r="I202">
        <f t="shared" si="9"/>
        <v>0.84500000000000064</v>
      </c>
      <c r="J202">
        <f t="shared" si="10"/>
        <v>-1.0543943496088559E-9</v>
      </c>
    </row>
    <row r="203" spans="4:10" x14ac:dyDescent="0.3">
      <c r="D203">
        <f t="shared" si="11"/>
        <v>0.85000000000000064</v>
      </c>
      <c r="E203">
        <f t="shared" si="8"/>
        <v>1.0364333894937909</v>
      </c>
      <c r="F203" cm="1">
        <f t="array" ref="F203">mynormsinv(D203)</f>
        <v>1.0364333906557994</v>
      </c>
      <c r="I203">
        <f t="shared" si="9"/>
        <v>0.85000000000000064</v>
      </c>
      <c r="J203">
        <f t="shared" si="10"/>
        <v>-1.1620084894303773E-9</v>
      </c>
    </row>
    <row r="204" spans="4:10" x14ac:dyDescent="0.3">
      <c r="D204">
        <f t="shared" si="11"/>
        <v>0.85500000000000065</v>
      </c>
      <c r="E204">
        <f t="shared" si="8"/>
        <v>1.0581216176847796</v>
      </c>
      <c r="F204" cm="1">
        <f t="array" ref="F204">mynormsinv(D204)</f>
        <v>1.05812161886004</v>
      </c>
      <c r="I204">
        <f t="shared" si="9"/>
        <v>0.85500000000000065</v>
      </c>
      <c r="J204">
        <f t="shared" si="10"/>
        <v>-1.1752603334969081E-9</v>
      </c>
    </row>
    <row r="205" spans="4:10" x14ac:dyDescent="0.3">
      <c r="D205">
        <f t="shared" si="11"/>
        <v>0.86000000000000065</v>
      </c>
      <c r="E205">
        <f t="shared" si="8"/>
        <v>1.0803193408149592</v>
      </c>
      <c r="F205" cm="1">
        <f t="array" ref="F205">mynormsinv(D205)</f>
        <v>1.080319341894473</v>
      </c>
      <c r="I205">
        <f t="shared" si="9"/>
        <v>0.86000000000000065</v>
      </c>
      <c r="J205">
        <f t="shared" si="10"/>
        <v>-1.0795138116748149E-9</v>
      </c>
    </row>
    <row r="206" spans="4:10" x14ac:dyDescent="0.3">
      <c r="D206">
        <f t="shared" si="11"/>
        <v>0.86500000000000066</v>
      </c>
      <c r="E206">
        <f t="shared" si="8"/>
        <v>1.103062556199601</v>
      </c>
      <c r="F206" cm="1">
        <f t="array" ref="F206">mynormsinv(D206)</f>
        <v>1.1030625570682717</v>
      </c>
      <c r="I206">
        <f t="shared" si="9"/>
        <v>0.86500000000000066</v>
      </c>
      <c r="J206">
        <f t="shared" si="10"/>
        <v>-8.6867069093443661E-10</v>
      </c>
    </row>
    <row r="207" spans="4:10" x14ac:dyDescent="0.3">
      <c r="D207">
        <f t="shared" si="11"/>
        <v>0.87000000000000066</v>
      </c>
      <c r="E207">
        <f t="shared" si="8"/>
        <v>1.126391129038804</v>
      </c>
      <c r="F207" cm="1">
        <f t="array" ref="F207">mynormsinv(D207)</f>
        <v>1.1263911295873117</v>
      </c>
      <c r="I207">
        <f t="shared" si="9"/>
        <v>0.87000000000000066</v>
      </c>
      <c r="J207">
        <f t="shared" si="10"/>
        <v>-5.4850768371750291E-10</v>
      </c>
    </row>
    <row r="208" spans="4:10" x14ac:dyDescent="0.3">
      <c r="D208">
        <f t="shared" si="11"/>
        <v>0.87500000000000067</v>
      </c>
      <c r="E208">
        <f t="shared" si="8"/>
        <v>1.1503493803760121</v>
      </c>
      <c r="F208" cm="1">
        <f t="array" ref="F208">mynormsinv(D208)</f>
        <v>1.1503493805157083</v>
      </c>
      <c r="I208">
        <f t="shared" si="9"/>
        <v>0.87500000000000067</v>
      </c>
      <c r="J208">
        <f t="shared" si="10"/>
        <v>-1.396962545641145E-10</v>
      </c>
    </row>
    <row r="209" spans="4:10" x14ac:dyDescent="0.3">
      <c r="D209">
        <f t="shared" si="11"/>
        <v>0.88000000000000067</v>
      </c>
      <c r="E209">
        <f t="shared" si="8"/>
        <v>1.1749867920660937</v>
      </c>
      <c r="F209" cm="1">
        <f t="array" ref="F209">mynormsinv(D209)</f>
        <v>1.1749867917459644</v>
      </c>
      <c r="I209">
        <f t="shared" si="9"/>
        <v>0.88000000000000067</v>
      </c>
      <c r="J209">
        <f t="shared" si="10"/>
        <v>3.2012925643698509E-10</v>
      </c>
    </row>
    <row r="210" spans="4:10" x14ac:dyDescent="0.3">
      <c r="D210">
        <f t="shared" si="11"/>
        <v>0.88500000000000068</v>
      </c>
      <c r="E210">
        <f t="shared" si="8"/>
        <v>1.2003588580308626</v>
      </c>
      <c r="F210" cm="1">
        <f t="array" ref="F210">mynormsinv(D210)</f>
        <v>1.2003588572546957</v>
      </c>
      <c r="I210">
        <f t="shared" si="9"/>
        <v>0.88500000000000068</v>
      </c>
      <c r="J210">
        <f t="shared" si="10"/>
        <v>7.7616690852266856E-10</v>
      </c>
    </row>
    <row r="211" spans="4:10" x14ac:dyDescent="0.3">
      <c r="D211">
        <f t="shared" si="11"/>
        <v>0.89000000000000068</v>
      </c>
      <c r="E211">
        <f t="shared" si="8"/>
        <v>1.2265281200366147</v>
      </c>
      <c r="F211" cm="1">
        <f t="array" ref="F211">mynormsinv(D211)</f>
        <v>1.2265281188774171</v>
      </c>
      <c r="I211">
        <f t="shared" si="9"/>
        <v>0.89000000000000068</v>
      </c>
      <c r="J211">
        <f t="shared" si="10"/>
        <v>1.1591976267766313E-9</v>
      </c>
    </row>
    <row r="212" spans="4:10" x14ac:dyDescent="0.3">
      <c r="D212">
        <f t="shared" si="11"/>
        <v>0.89500000000000068</v>
      </c>
      <c r="E212">
        <f t="shared" si="8"/>
        <v>1.2535654384704547</v>
      </c>
      <c r="F212" cm="1">
        <f t="array" ref="F212">mynormsinv(D212)</f>
        <v>1.2535654370778821</v>
      </c>
      <c r="I212">
        <f t="shared" si="9"/>
        <v>0.89500000000000068</v>
      </c>
      <c r="J212">
        <f t="shared" si="10"/>
        <v>1.3925725017571722E-9</v>
      </c>
    </row>
    <row r="213" spans="4:10" x14ac:dyDescent="0.3">
      <c r="D213">
        <f t="shared" si="11"/>
        <v>0.90000000000000069</v>
      </c>
      <c r="E213">
        <f t="shared" si="8"/>
        <v>1.2815515655446041</v>
      </c>
      <c r="F213" cm="1">
        <f t="array" ref="F213">mynormsinv(D213)</f>
        <v>1.2815515641400708</v>
      </c>
      <c r="I213">
        <f t="shared" si="9"/>
        <v>0.90000000000000069</v>
      </c>
      <c r="J213">
        <f t="shared" si="10"/>
        <v>1.4045333784906688E-9</v>
      </c>
    </row>
    <row r="214" spans="4:10" x14ac:dyDescent="0.3">
      <c r="D214">
        <f t="shared" si="11"/>
        <v>0.90500000000000069</v>
      </c>
      <c r="E214">
        <f t="shared" si="8"/>
        <v>1.3105791121681334</v>
      </c>
      <c r="F214" cm="1">
        <f t="array" ref="F214">mynormsinv(D214)</f>
        <v>1.310579111021744</v>
      </c>
      <c r="I214">
        <f t="shared" si="9"/>
        <v>0.90500000000000069</v>
      </c>
      <c r="J214">
        <f t="shared" si="10"/>
        <v>1.1463894278307407E-9</v>
      </c>
    </row>
    <row r="215" spans="4:10" x14ac:dyDescent="0.3">
      <c r="D215">
        <f t="shared" si="11"/>
        <v>0.9100000000000007</v>
      </c>
      <c r="E215">
        <f t="shared" si="8"/>
        <v>1.3407550336902199</v>
      </c>
      <c r="F215" cm="1">
        <f t="array" ref="F215">mynormsinv(D215)</f>
        <v>1.3407550330746187</v>
      </c>
      <c r="I215">
        <f t="shared" si="9"/>
        <v>0.9100000000000007</v>
      </c>
      <c r="J215">
        <f t="shared" si="10"/>
        <v>6.1560112563086022E-10</v>
      </c>
    </row>
    <row r="216" spans="4:10" x14ac:dyDescent="0.3">
      <c r="D216">
        <f t="shared" si="11"/>
        <v>0.9150000000000007</v>
      </c>
      <c r="E216">
        <f t="shared" si="8"/>
        <v>1.372203808998731</v>
      </c>
      <c r="F216" cm="1">
        <f t="array" ref="F216">mynormsinv(D216)</f>
        <v>1.3722038091186417</v>
      </c>
      <c r="I216">
        <f t="shared" si="9"/>
        <v>0.9150000000000007</v>
      </c>
      <c r="J216">
        <f t="shared" si="10"/>
        <v>-1.1991074799766466E-10</v>
      </c>
    </row>
    <row r="217" spans="4:10" x14ac:dyDescent="0.3">
      <c r="D217">
        <f t="shared" si="11"/>
        <v>0.92000000000000071</v>
      </c>
      <c r="E217">
        <f t="shared" si="8"/>
        <v>1.405071560309638</v>
      </c>
      <c r="F217" cm="1">
        <f t="array" ref="F217">mynormsinv(D217)</f>
        <v>1.4050715612141498</v>
      </c>
      <c r="I217">
        <f t="shared" si="9"/>
        <v>0.92000000000000071</v>
      </c>
      <c r="J217">
        <f t="shared" si="10"/>
        <v>-9.0451179879380561E-10</v>
      </c>
    </row>
    <row r="218" spans="4:10" x14ac:dyDescent="0.3">
      <c r="D218">
        <f t="shared" si="11"/>
        <v>0.92500000000000071</v>
      </c>
      <c r="E218">
        <f t="shared" si="8"/>
        <v>1.439531470938461</v>
      </c>
      <c r="F218" cm="1">
        <f t="array" ref="F218">mynormsinv(D218)</f>
        <v>1.4395314724374055</v>
      </c>
      <c r="I218">
        <f t="shared" si="9"/>
        <v>0.92500000000000071</v>
      </c>
      <c r="J218">
        <f t="shared" si="10"/>
        <v>-1.4989445240587429E-9</v>
      </c>
    </row>
    <row r="219" spans="4:10" x14ac:dyDescent="0.3">
      <c r="D219">
        <f t="shared" si="11"/>
        <v>0.93000000000000071</v>
      </c>
      <c r="E219">
        <f t="shared" si="8"/>
        <v>1.4757910281791764</v>
      </c>
      <c r="F219" cm="1">
        <f t="array" ref="F219">mynormsinv(D219)</f>
        <v>1.4757910298058463</v>
      </c>
      <c r="I219">
        <f t="shared" si="9"/>
        <v>0.93000000000000071</v>
      </c>
      <c r="J219">
        <f t="shared" si="10"/>
        <v>-1.6266699098821391E-9</v>
      </c>
    </row>
    <row r="220" spans="4:10" x14ac:dyDescent="0.3">
      <c r="D220">
        <f t="shared" si="11"/>
        <v>0.93500000000000072</v>
      </c>
      <c r="E220">
        <f t="shared" si="8"/>
        <v>1.5141018876192898</v>
      </c>
      <c r="F220" cm="1">
        <f t="array" ref="F220">mynormsinv(D220)</f>
        <v>1.5141018887036142</v>
      </c>
      <c r="I220">
        <f t="shared" si="9"/>
        <v>0.93500000000000072</v>
      </c>
      <c r="J220">
        <f t="shared" si="10"/>
        <v>-1.0843244080405157E-9</v>
      </c>
    </row>
    <row r="221" spans="4:10" x14ac:dyDescent="0.3">
      <c r="D221">
        <f t="shared" si="11"/>
        <v>0.94000000000000072</v>
      </c>
      <c r="E221">
        <f t="shared" si="8"/>
        <v>1.5547735945968597</v>
      </c>
      <c r="F221" cm="1">
        <f t="array" ref="F221">mynormsinv(D221)</f>
        <v>1.5547735945184677</v>
      </c>
      <c r="I221">
        <f t="shared" si="9"/>
        <v>0.94000000000000072</v>
      </c>
      <c r="J221">
        <f t="shared" si="10"/>
        <v>7.8391959590362603E-11</v>
      </c>
    </row>
    <row r="222" spans="4:10" x14ac:dyDescent="0.3">
      <c r="D222">
        <f t="shared" si="11"/>
        <v>0.94500000000000073</v>
      </c>
      <c r="E222">
        <f t="shared" si="8"/>
        <v>1.5981931399228242</v>
      </c>
      <c r="F222" cm="1">
        <f t="array" ref="F222">mynormsinv(D222)</f>
        <v>1.5981931385578378</v>
      </c>
      <c r="I222">
        <f t="shared" si="9"/>
        <v>0.94500000000000073</v>
      </c>
      <c r="J222">
        <f t="shared" si="10"/>
        <v>1.3649863461751011E-9</v>
      </c>
    </row>
    <row r="223" spans="4:10" x14ac:dyDescent="0.3">
      <c r="D223">
        <f t="shared" si="11"/>
        <v>0.95000000000000073</v>
      </c>
      <c r="E223">
        <f t="shared" si="8"/>
        <v>1.6448536269514795</v>
      </c>
      <c r="F223" cm="1">
        <f t="array" ref="F223">mynormsinv(D223)</f>
        <v>1.64485362513319</v>
      </c>
      <c r="I223">
        <f t="shared" si="9"/>
        <v>0.95000000000000073</v>
      </c>
      <c r="J223">
        <f t="shared" si="10"/>
        <v>1.8182895189511328E-9</v>
      </c>
    </row>
    <row r="224" spans="4:10" x14ac:dyDescent="0.3">
      <c r="D224">
        <f t="shared" si="11"/>
        <v>0.95500000000000074</v>
      </c>
      <c r="E224">
        <f t="shared" si="8"/>
        <v>1.6953977102721438</v>
      </c>
      <c r="F224" cm="1">
        <f t="array" ref="F224">mynormsinv(D224)</f>
        <v>1.6953977096892645</v>
      </c>
      <c r="I224">
        <f t="shared" si="9"/>
        <v>0.95500000000000074</v>
      </c>
      <c r="J224">
        <f t="shared" si="10"/>
        <v>5.8287930038147806E-10</v>
      </c>
    </row>
    <row r="225" spans="4:10" x14ac:dyDescent="0.3">
      <c r="D225">
        <f t="shared" si="11"/>
        <v>0.96000000000000074</v>
      </c>
      <c r="E225">
        <f t="shared" si="8"/>
        <v>1.7506860712521779</v>
      </c>
      <c r="F225" cm="1">
        <f t="array" ref="F225">mynormsinv(D225)</f>
        <v>1.7506860728524087</v>
      </c>
      <c r="I225">
        <f t="shared" si="9"/>
        <v>0.96000000000000074</v>
      </c>
      <c r="J225">
        <f t="shared" si="10"/>
        <v>-1.6002308367291107E-9</v>
      </c>
    </row>
    <row r="226" spans="4:10" x14ac:dyDescent="0.3">
      <c r="D226">
        <f t="shared" si="11"/>
        <v>0.96500000000000075</v>
      </c>
      <c r="E226">
        <f t="shared" si="8"/>
        <v>1.8119106729526071</v>
      </c>
      <c r="F226" cm="1">
        <f t="array" ref="F226">mynormsinv(D226)</f>
        <v>1.8119106741699587</v>
      </c>
      <c r="I226">
        <f t="shared" si="9"/>
        <v>0.96500000000000075</v>
      </c>
      <c r="J226">
        <f t="shared" si="10"/>
        <v>-1.2173515528957068E-9</v>
      </c>
    </row>
    <row r="227" spans="4:10" x14ac:dyDescent="0.3">
      <c r="D227">
        <f t="shared" si="11"/>
        <v>0.97000000000000075</v>
      </c>
      <c r="E227">
        <f t="shared" ref="E227:E232" si="12">NORMSINV(D227)</f>
        <v>1.8807936081512615</v>
      </c>
      <c r="F227" cm="1">
        <f t="array" ref="F227">mynormsinv(D227)</f>
        <v>1.8807936060348425</v>
      </c>
      <c r="I227">
        <f t="shared" ref="I227:I232" si="13">D227</f>
        <v>0.97000000000000075</v>
      </c>
      <c r="J227">
        <f t="shared" ref="J227:J232" si="14">E227-F227</f>
        <v>2.1164190400213556E-9</v>
      </c>
    </row>
    <row r="228" spans="4:10" x14ac:dyDescent="0.3">
      <c r="D228">
        <f t="shared" ref="D228:D244" si="15">D227+0.005</f>
        <v>0.97500000000000075</v>
      </c>
      <c r="E228">
        <f t="shared" si="12"/>
        <v>1.9599639845400669</v>
      </c>
      <c r="F228" cm="1">
        <f t="array" ref="F228">mynormsinv(D228)</f>
        <v>1.9599639861187119</v>
      </c>
      <c r="I228">
        <f t="shared" si="13"/>
        <v>0.97500000000000075</v>
      </c>
      <c r="J228">
        <f t="shared" si="14"/>
        <v>-1.5786449925059287E-9</v>
      </c>
    </row>
    <row r="229" spans="4:10" x14ac:dyDescent="0.3">
      <c r="D229">
        <f t="shared" si="15"/>
        <v>0.98000000000000076</v>
      </c>
      <c r="E229">
        <f t="shared" si="12"/>
        <v>2.053748910631839</v>
      </c>
      <c r="F229" cm="1">
        <f t="array" ref="F229">mynormsinv(D229)</f>
        <v>2.0537489090030476</v>
      </c>
      <c r="I229">
        <f t="shared" si="13"/>
        <v>0.98000000000000076</v>
      </c>
      <c r="J229">
        <f t="shared" si="14"/>
        <v>1.6287913240375929E-9</v>
      </c>
    </row>
    <row r="230" spans="4:10" x14ac:dyDescent="0.3">
      <c r="D230">
        <f t="shared" si="15"/>
        <v>0.98500000000000076</v>
      </c>
      <c r="E230">
        <f t="shared" si="12"/>
        <v>2.1700903775845801</v>
      </c>
      <c r="F230" cm="1">
        <f t="array" ref="F230">mynormsinv(D230)</f>
        <v>2.1700903754538405</v>
      </c>
      <c r="I230">
        <f t="shared" si="13"/>
        <v>0.98500000000000076</v>
      </c>
      <c r="J230">
        <f t="shared" si="14"/>
        <v>2.1307395847713906E-9</v>
      </c>
    </row>
    <row r="231" spans="4:10" x14ac:dyDescent="0.3">
      <c r="D231">
        <f t="shared" si="15"/>
        <v>0.99000000000000077</v>
      </c>
      <c r="E231">
        <f t="shared" si="12"/>
        <v>2.3263478740408692</v>
      </c>
      <c r="F231" cm="1">
        <f t="array" ref="F231">mynormsinv(D231)</f>
        <v>2.3263478743880532</v>
      </c>
      <c r="I231">
        <f t="shared" si="13"/>
        <v>0.99000000000000077</v>
      </c>
      <c r="J231">
        <f t="shared" si="14"/>
        <v>-3.471840592794706E-10</v>
      </c>
    </row>
    <row r="232" spans="4:10" x14ac:dyDescent="0.3">
      <c r="D232">
        <f t="shared" si="15"/>
        <v>0.99500000000000077</v>
      </c>
      <c r="E232">
        <f t="shared" si="12"/>
        <v>2.5758293035489541</v>
      </c>
      <c r="F232" cm="1">
        <f t="array" ref="F232">mynormsinv(D232)</f>
        <v>2.5758293064439766</v>
      </c>
      <c r="I232">
        <f t="shared" si="13"/>
        <v>0.99500000000000077</v>
      </c>
      <c r="J232">
        <f t="shared" si="14"/>
        <v>-2.8950224439938665E-9</v>
      </c>
    </row>
  </sheetData>
  <sortState xmlns:xlrd2="http://schemas.microsoft.com/office/spreadsheetml/2017/richdata2" ref="I7:J33">
    <sortCondition ref="I7:I33"/>
  </sortState>
  <hyperlinks>
    <hyperlink ref="E2" r:id="rId1" xr:uid="{DBA98756-916E-4BA3-ABB5-125BC2B3A988}"/>
  </hyperlinks>
  <pageMargins left="0.7" right="0.7" top="0.75" bottom="0.75" header="0.3" footer="0.3"/>
  <pageSetup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F</dc:creator>
  <cp:lastModifiedBy>Matthew F</cp:lastModifiedBy>
  <dcterms:created xsi:type="dcterms:W3CDTF">2022-03-27T04:23:31Z</dcterms:created>
  <dcterms:modified xsi:type="dcterms:W3CDTF">2022-03-27T05:39:10Z</dcterms:modified>
</cp:coreProperties>
</file>