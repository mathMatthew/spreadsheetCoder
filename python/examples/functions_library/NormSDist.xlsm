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atth\SpreadsheetCoder\XMLFunctions\"/>
    </mc:Choice>
  </mc:AlternateContent>
  <xr:revisionPtr revIDLastSave="0" documentId="8_{82180630-C45D-4DEF-A1D3-4B91B19D4B2F}" xr6:coauthVersionLast="47" xr6:coauthVersionMax="47" xr10:uidLastSave="{00000000-0000-0000-0000-000000000000}"/>
  <bookViews>
    <workbookView xWindow="-108" yWindow="-108" windowWidth="23256" windowHeight="12456" xr2:uid="{8649E5ED-9688-43BE-84FE-2E1FDACC7BA7}"/>
  </bookViews>
  <sheets>
    <sheet name="Sheet1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J100" i="1" l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F74" i="1"/>
  <c r="F75" i="1" s="1"/>
  <c r="F76" i="1" s="1"/>
  <c r="F77" i="1" s="1"/>
  <c r="F78" i="1" s="1"/>
  <c r="F79" i="1" s="1"/>
  <c r="F80" i="1" s="1"/>
  <c r="F81" i="1" s="1"/>
  <c r="F82" i="1" s="1"/>
  <c r="F83" i="1" s="1"/>
  <c r="F84" i="1" s="1"/>
  <c r="F85" i="1" s="1"/>
  <c r="F86" i="1" s="1"/>
  <c r="F87" i="1" s="1"/>
  <c r="F88" i="1" s="1"/>
  <c r="F89" i="1" s="1"/>
  <c r="F90" i="1" s="1"/>
  <c r="F91" i="1" s="1"/>
  <c r="F92" i="1" s="1"/>
  <c r="F93" i="1" s="1"/>
  <c r="F94" i="1" s="1"/>
  <c r="F95" i="1" s="1"/>
  <c r="F96" i="1" s="1"/>
  <c r="F97" i="1" s="1"/>
  <c r="F98" i="1" s="1"/>
  <c r="F99" i="1" s="1"/>
  <c r="F100" i="1" s="1"/>
  <c r="F23" i="1"/>
  <c r="F24" i="1" s="1"/>
  <c r="F25" i="1" s="1"/>
  <c r="F26" i="1" s="1"/>
  <c r="F27" i="1" s="1"/>
  <c r="F28" i="1" s="1"/>
  <c r="F29" i="1" s="1"/>
  <c r="F30" i="1" s="1"/>
  <c r="F31" i="1" s="1"/>
  <c r="F32" i="1" s="1"/>
  <c r="F33" i="1" s="1"/>
  <c r="F34" i="1" s="1"/>
  <c r="F35" i="1" s="1"/>
  <c r="F36" i="1" s="1"/>
  <c r="F37" i="1" s="1"/>
  <c r="F38" i="1" s="1"/>
  <c r="F39" i="1" s="1"/>
  <c r="F40" i="1" s="1"/>
  <c r="F41" i="1" s="1"/>
  <c r="F42" i="1" s="1"/>
  <c r="F43" i="1" s="1"/>
  <c r="F44" i="1" s="1"/>
  <c r="F45" i="1" s="1"/>
  <c r="F46" i="1" s="1"/>
  <c r="F47" i="1" s="1"/>
  <c r="F48" i="1" s="1"/>
  <c r="F49" i="1" s="1"/>
  <c r="F50" i="1" s="1"/>
  <c r="F51" i="1" s="1"/>
  <c r="F52" i="1" s="1"/>
  <c r="F53" i="1" s="1"/>
  <c r="F54" i="1" s="1"/>
  <c r="F55" i="1" s="1"/>
  <c r="F56" i="1" s="1"/>
  <c r="F57" i="1" s="1"/>
  <c r="F58" i="1" s="1"/>
  <c r="F59" i="1" s="1"/>
  <c r="F60" i="1" s="1"/>
  <c r="F61" i="1" s="1"/>
  <c r="F62" i="1" s="1"/>
  <c r="F63" i="1" s="1"/>
  <c r="F64" i="1" s="1"/>
  <c r="F65" i="1" s="1"/>
  <c r="F66" i="1" s="1"/>
  <c r="F67" i="1" s="1"/>
  <c r="F68" i="1" s="1"/>
  <c r="F69" i="1" s="1"/>
  <c r="F70" i="1" s="1"/>
  <c r="F71" i="1" s="1"/>
  <c r="F72" i="1" s="1"/>
  <c r="F73" i="1" s="1"/>
  <c r="F22" i="1"/>
  <c r="F21" i="1"/>
  <c r="F8" i="1"/>
  <c r="F6" i="1"/>
  <c r="F12" i="1"/>
  <c r="H95" i="1" a="1"/>
  <c r="H87" i="1" a="1"/>
  <c r="H79" i="1" a="1"/>
  <c r="H71" i="1" a="1"/>
  <c r="H63" i="1" a="1"/>
  <c r="H55" i="1" a="1"/>
  <c r="H47" i="1" a="1"/>
  <c r="H39" i="1" a="1"/>
  <c r="H31" i="1" a="1"/>
  <c r="H23" i="1" a="1"/>
  <c r="H92" i="1" a="1"/>
  <c r="H84" i="1" a="1"/>
  <c r="H76" i="1" a="1"/>
  <c r="H68" i="1" a="1"/>
  <c r="H60" i="1" a="1"/>
  <c r="H52" i="1" a="1"/>
  <c r="H44" i="1" a="1"/>
  <c r="H100" i="1" a="1"/>
  <c r="H97" i="1" a="1"/>
  <c r="H89" i="1" a="1"/>
  <c r="H81" i="1" a="1"/>
  <c r="H73" i="1" a="1"/>
  <c r="H65" i="1" a="1"/>
  <c r="H57" i="1" a="1"/>
  <c r="H49" i="1" a="1"/>
  <c r="H41" i="1" a="1"/>
  <c r="H33" i="1" a="1"/>
  <c r="H25" i="1" a="1"/>
  <c r="H91" i="1" a="1"/>
  <c r="H75" i="1" a="1"/>
  <c r="H67" i="1" a="1"/>
  <c r="H27" i="1" a="1"/>
  <c r="H34" i="1" a="1"/>
  <c r="H36" i="1" a="1"/>
  <c r="H94" i="1" a="1"/>
  <c r="H86" i="1" a="1"/>
  <c r="H78" i="1" a="1"/>
  <c r="H70" i="1" a="1"/>
  <c r="H62" i="1" a="1"/>
  <c r="H54" i="1" a="1"/>
  <c r="H46" i="1" a="1"/>
  <c r="H38" i="1" a="1"/>
  <c r="H30" i="1" a="1"/>
  <c r="H22" i="1" a="1"/>
  <c r="H83" i="1" a="1"/>
  <c r="H59" i="1" a="1"/>
  <c r="H51" i="1" a="1"/>
  <c r="H35" i="1" a="1"/>
  <c r="H26" i="1" a="1"/>
  <c r="H99" i="1" a="1"/>
  <c r="H43" i="1" a="1"/>
  <c r="H96" i="1" a="1"/>
  <c r="H88" i="1" a="1"/>
  <c r="H80" i="1" a="1"/>
  <c r="H72" i="1" a="1"/>
  <c r="H64" i="1" a="1"/>
  <c r="H56" i="1" a="1"/>
  <c r="H48" i="1" a="1"/>
  <c r="H40" i="1" a="1"/>
  <c r="H32" i="1" a="1"/>
  <c r="H24" i="1" a="1"/>
  <c r="H74" i="1" a="1"/>
  <c r="H66" i="1" a="1"/>
  <c r="H58" i="1" a="1"/>
  <c r="H93" i="1" a="1"/>
  <c r="H85" i="1" a="1"/>
  <c r="H77" i="1" a="1"/>
  <c r="H69" i="1" a="1"/>
  <c r="H61" i="1" a="1"/>
  <c r="H53" i="1" a="1"/>
  <c r="H45" i="1" a="1"/>
  <c r="H37" i="1" a="1"/>
  <c r="H29" i="1" a="1"/>
  <c r="H21" i="1" a="1"/>
  <c r="H98" i="1" a="1"/>
  <c r="H90" i="1" a="1"/>
  <c r="H82" i="1" a="1"/>
  <c r="H50" i="1" a="1"/>
  <c r="H42" i="1" a="1"/>
  <c r="H28" i="1" a="1"/>
  <c r="H20" i="1" a="1"/>
  <c r="F16" i="1" a="1"/>
  <c r="H28" i="1" l="1"/>
  <c r="K28" i="1" s="1"/>
  <c r="H42" i="1"/>
  <c r="K42" i="1" s="1"/>
  <c r="H50" i="1"/>
  <c r="K50" i="1" s="1"/>
  <c r="H82" i="1"/>
  <c r="K82" i="1" s="1"/>
  <c r="H90" i="1"/>
  <c r="K90" i="1" s="1"/>
  <c r="H98" i="1"/>
  <c r="K98" i="1" s="1"/>
  <c r="H21" i="1"/>
  <c r="K21" i="1" s="1"/>
  <c r="H29" i="1"/>
  <c r="K29" i="1" s="1"/>
  <c r="H37" i="1"/>
  <c r="K37" i="1" s="1"/>
  <c r="H45" i="1"/>
  <c r="K45" i="1" s="1"/>
  <c r="H53" i="1"/>
  <c r="K53" i="1" s="1"/>
  <c r="H61" i="1"/>
  <c r="K61" i="1" s="1"/>
  <c r="H69" i="1"/>
  <c r="K69" i="1" s="1"/>
  <c r="H77" i="1"/>
  <c r="K77" i="1" s="1"/>
  <c r="H85" i="1"/>
  <c r="K85" i="1" s="1"/>
  <c r="H93" i="1"/>
  <c r="K93" i="1" s="1"/>
  <c r="H58" i="1"/>
  <c r="K58" i="1" s="1"/>
  <c r="H66" i="1"/>
  <c r="K66" i="1" s="1"/>
  <c r="H74" i="1"/>
  <c r="K74" i="1" s="1"/>
  <c r="H24" i="1"/>
  <c r="K24" i="1" s="1"/>
  <c r="H32" i="1"/>
  <c r="K32" i="1" s="1"/>
  <c r="H40" i="1"/>
  <c r="K40" i="1" s="1"/>
  <c r="H48" i="1"/>
  <c r="K48" i="1" s="1"/>
  <c r="H56" i="1"/>
  <c r="K56" i="1" s="1"/>
  <c r="H64" i="1"/>
  <c r="K64" i="1" s="1"/>
  <c r="H72" i="1"/>
  <c r="K72" i="1" s="1"/>
  <c r="H80" i="1"/>
  <c r="K80" i="1" s="1"/>
  <c r="H88" i="1"/>
  <c r="K88" i="1" s="1"/>
  <c r="H96" i="1"/>
  <c r="K96" i="1" s="1"/>
  <c r="H43" i="1"/>
  <c r="K43" i="1" s="1"/>
  <c r="H99" i="1"/>
  <c r="K99" i="1" s="1"/>
  <c r="H26" i="1"/>
  <c r="K26" i="1" s="1"/>
  <c r="H35" i="1"/>
  <c r="K35" i="1" s="1"/>
  <c r="H51" i="1"/>
  <c r="K51" i="1" s="1"/>
  <c r="H59" i="1"/>
  <c r="K59" i="1" s="1"/>
  <c r="H83" i="1"/>
  <c r="K83" i="1" s="1"/>
  <c r="H22" i="1"/>
  <c r="K22" i="1" s="1"/>
  <c r="H30" i="1"/>
  <c r="K30" i="1" s="1"/>
  <c r="H38" i="1"/>
  <c r="K38" i="1" s="1"/>
  <c r="H46" i="1"/>
  <c r="K46" i="1" s="1"/>
  <c r="H54" i="1"/>
  <c r="K54" i="1" s="1"/>
  <c r="H62" i="1"/>
  <c r="K62" i="1" s="1"/>
  <c r="H70" i="1"/>
  <c r="K70" i="1" s="1"/>
  <c r="H78" i="1"/>
  <c r="K78" i="1" s="1"/>
  <c r="H86" i="1"/>
  <c r="K86" i="1" s="1"/>
  <c r="H94" i="1"/>
  <c r="K94" i="1" s="1"/>
  <c r="H36" i="1"/>
  <c r="K36" i="1" s="1"/>
  <c r="H34" i="1"/>
  <c r="K34" i="1" s="1"/>
  <c r="H27" i="1"/>
  <c r="K27" i="1" s="1"/>
  <c r="H67" i="1"/>
  <c r="K67" i="1" s="1"/>
  <c r="H75" i="1"/>
  <c r="K75" i="1" s="1"/>
  <c r="H91" i="1"/>
  <c r="K91" i="1" s="1"/>
  <c r="H25" i="1"/>
  <c r="K25" i="1" s="1"/>
  <c r="H33" i="1"/>
  <c r="K33" i="1" s="1"/>
  <c r="H41" i="1"/>
  <c r="K41" i="1" s="1"/>
  <c r="H49" i="1"/>
  <c r="K49" i="1" s="1"/>
  <c r="H57" i="1"/>
  <c r="K57" i="1" s="1"/>
  <c r="H65" i="1"/>
  <c r="K65" i="1" s="1"/>
  <c r="H73" i="1"/>
  <c r="K73" i="1" s="1"/>
  <c r="H81" i="1"/>
  <c r="K81" i="1" s="1"/>
  <c r="H89" i="1"/>
  <c r="K89" i="1" s="1"/>
  <c r="H97" i="1"/>
  <c r="K97" i="1" s="1"/>
  <c r="H100" i="1"/>
  <c r="K100" i="1" s="1"/>
  <c r="H44" i="1"/>
  <c r="K44" i="1" s="1"/>
  <c r="H52" i="1"/>
  <c r="K52" i="1" s="1"/>
  <c r="H60" i="1"/>
  <c r="K60" i="1" s="1"/>
  <c r="H68" i="1"/>
  <c r="K68" i="1" s="1"/>
  <c r="H76" i="1"/>
  <c r="K76" i="1" s="1"/>
  <c r="H84" i="1"/>
  <c r="K84" i="1" s="1"/>
  <c r="H92" i="1"/>
  <c r="K92" i="1" s="1"/>
  <c r="H23" i="1"/>
  <c r="K23" i="1" s="1"/>
  <c r="H31" i="1"/>
  <c r="K31" i="1" s="1"/>
  <c r="H39" i="1"/>
  <c r="K39" i="1" s="1"/>
  <c r="H47" i="1"/>
  <c r="K47" i="1" s="1"/>
  <c r="H55" i="1"/>
  <c r="K55" i="1" s="1"/>
  <c r="H63" i="1"/>
  <c r="K63" i="1" s="1"/>
  <c r="H71" i="1"/>
  <c r="K71" i="1" s="1"/>
  <c r="H79" i="1"/>
  <c r="K79" i="1" s="1"/>
  <c r="H87" i="1"/>
  <c r="K87" i="1" s="1"/>
  <c r="H95" i="1"/>
  <c r="K95" i="1" s="1"/>
  <c r="H20" i="1"/>
  <c r="K20" i="1" s="1"/>
  <c r="F16" i="1"/>
  <c r="F7" i="1"/>
  <c r="F9" i="1" l="1"/>
  <c r="F13" i="1" l="1"/>
  <c r="F1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<sst xmlns="http://schemas.openxmlformats.org/spreadsheetml/2006/main" count="11" uniqueCount="10">
  <si>
    <t>z</t>
  </si>
  <si>
    <t>t</t>
  </si>
  <si>
    <t>ans</t>
  </si>
  <si>
    <t>excel</t>
  </si>
  <si>
    <t>diff</t>
  </si>
  <si>
    <t>z2</t>
  </si>
  <si>
    <t>mynormdist</t>
  </si>
  <si>
    <t>diff from calc above tryint to reproduce</t>
  </si>
  <si>
    <t>normsdist</t>
  </si>
  <si>
    <t>val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</si>
</sst>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Sheet1!$K$19</c:f>
              <c:strCache>
                <c:ptCount val="1"/>
                <c:pt idx="0">
                  <c:v>diff</c:v>
                </c:pt>
              </c:strCache>
            </c:strRef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Sheet1!$J$20:$J$100</c:f>
              <c:numCache>
                <c:formatCode>General</c:formatCode>
                <c:ptCount val="81"/>
                <c:pt idx="0">
                  <c:v>-2</c:v>
                </c:pt>
                <c:pt idx="1">
                  <c:v>-1.95</c:v>
                </c:pt>
                <c:pt idx="2">
                  <c:v>-1.9</c:v>
                </c:pt>
                <c:pt idx="3">
                  <c:v>-1.8499999999999999</c:v>
                </c:pt>
                <c:pt idx="4">
                  <c:v>-1.7999999999999998</c:v>
                </c:pt>
                <c:pt idx="5">
                  <c:v>-1.7499999999999998</c:v>
                </c:pt>
                <c:pt idx="6">
                  <c:v>-1.6999999999999997</c:v>
                </c:pt>
                <c:pt idx="7">
                  <c:v>-1.6499999999999997</c:v>
                </c:pt>
                <c:pt idx="8">
                  <c:v>-1.5999999999999996</c:v>
                </c:pt>
                <c:pt idx="9">
                  <c:v>-1.5499999999999996</c:v>
                </c:pt>
                <c:pt idx="10">
                  <c:v>-1.4999999999999996</c:v>
                </c:pt>
                <c:pt idx="11">
                  <c:v>-1.4499999999999995</c:v>
                </c:pt>
                <c:pt idx="12">
                  <c:v>-1.3999999999999995</c:v>
                </c:pt>
                <c:pt idx="13">
                  <c:v>-1.3499999999999994</c:v>
                </c:pt>
                <c:pt idx="14">
                  <c:v>-1.2999999999999994</c:v>
                </c:pt>
                <c:pt idx="15">
                  <c:v>-1.2499999999999993</c:v>
                </c:pt>
                <c:pt idx="16">
                  <c:v>-1.1999999999999993</c:v>
                </c:pt>
                <c:pt idx="17">
                  <c:v>-1.1499999999999992</c:v>
                </c:pt>
                <c:pt idx="18">
                  <c:v>-1.0999999999999992</c:v>
                </c:pt>
                <c:pt idx="19">
                  <c:v>-1.0499999999999992</c:v>
                </c:pt>
                <c:pt idx="20">
                  <c:v>-0.99999999999999911</c:v>
                </c:pt>
                <c:pt idx="21">
                  <c:v>-0.94999999999999907</c:v>
                </c:pt>
                <c:pt idx="22">
                  <c:v>-0.89999999999999902</c:v>
                </c:pt>
                <c:pt idx="23">
                  <c:v>-0.84999999999999898</c:v>
                </c:pt>
                <c:pt idx="24">
                  <c:v>-0.79999999999999893</c:v>
                </c:pt>
                <c:pt idx="25">
                  <c:v>-0.74999999999999889</c:v>
                </c:pt>
                <c:pt idx="26">
                  <c:v>-0.69999999999999885</c:v>
                </c:pt>
                <c:pt idx="27">
                  <c:v>-0.6499999999999988</c:v>
                </c:pt>
                <c:pt idx="28">
                  <c:v>-0.59999999999999876</c:v>
                </c:pt>
                <c:pt idx="29">
                  <c:v>-0.54999999999999871</c:v>
                </c:pt>
                <c:pt idx="30">
                  <c:v>-0.49999999999999872</c:v>
                </c:pt>
                <c:pt idx="31">
                  <c:v>-0.44999999999999873</c:v>
                </c:pt>
                <c:pt idx="32">
                  <c:v>-0.39999999999999875</c:v>
                </c:pt>
                <c:pt idx="33">
                  <c:v>-0.34999999999999876</c:v>
                </c:pt>
                <c:pt idx="34">
                  <c:v>-0.29999999999999877</c:v>
                </c:pt>
                <c:pt idx="35">
                  <c:v>-0.24999999999999878</c:v>
                </c:pt>
                <c:pt idx="36">
                  <c:v>-0.19999999999999879</c:v>
                </c:pt>
                <c:pt idx="37">
                  <c:v>-0.1499999999999988</c:v>
                </c:pt>
                <c:pt idx="38">
                  <c:v>-9.9999999999998798E-2</c:v>
                </c:pt>
                <c:pt idx="39">
                  <c:v>-4.9999999999998795E-2</c:v>
                </c:pt>
                <c:pt idx="40">
                  <c:v>1.2073675392798577E-15</c:v>
                </c:pt>
                <c:pt idx="41">
                  <c:v>5.000000000000121E-2</c:v>
                </c:pt>
                <c:pt idx="42">
                  <c:v>0.10000000000000121</c:v>
                </c:pt>
                <c:pt idx="43">
                  <c:v>0.15000000000000122</c:v>
                </c:pt>
                <c:pt idx="44">
                  <c:v>0.20000000000000123</c:v>
                </c:pt>
                <c:pt idx="45">
                  <c:v>0.25000000000000122</c:v>
                </c:pt>
                <c:pt idx="46">
                  <c:v>0.30000000000000121</c:v>
                </c:pt>
                <c:pt idx="47">
                  <c:v>0.3500000000000012</c:v>
                </c:pt>
                <c:pt idx="48">
                  <c:v>0.40000000000000119</c:v>
                </c:pt>
                <c:pt idx="49">
                  <c:v>0.45000000000000118</c:v>
                </c:pt>
                <c:pt idx="50">
                  <c:v>0.50000000000000122</c:v>
                </c:pt>
                <c:pt idx="51">
                  <c:v>0.55000000000000127</c:v>
                </c:pt>
                <c:pt idx="52">
                  <c:v>0.60000000000000131</c:v>
                </c:pt>
                <c:pt idx="53">
                  <c:v>0.65000000000000135</c:v>
                </c:pt>
                <c:pt idx="54">
                  <c:v>0.7000000000000014</c:v>
                </c:pt>
                <c:pt idx="55">
                  <c:v>0.75000000000000144</c:v>
                </c:pt>
                <c:pt idx="56">
                  <c:v>0.80000000000000149</c:v>
                </c:pt>
                <c:pt idx="57">
                  <c:v>0.85000000000000153</c:v>
                </c:pt>
                <c:pt idx="58">
                  <c:v>0.90000000000000158</c:v>
                </c:pt>
                <c:pt idx="59">
                  <c:v>0.95000000000000162</c:v>
                </c:pt>
                <c:pt idx="60">
                  <c:v>1.0000000000000016</c:v>
                </c:pt>
                <c:pt idx="61">
                  <c:v>1.0500000000000016</c:v>
                </c:pt>
                <c:pt idx="62">
                  <c:v>1.1000000000000016</c:v>
                </c:pt>
                <c:pt idx="63">
                  <c:v>1.1500000000000017</c:v>
                </c:pt>
                <c:pt idx="64">
                  <c:v>1.2000000000000017</c:v>
                </c:pt>
                <c:pt idx="65">
                  <c:v>1.2500000000000018</c:v>
                </c:pt>
                <c:pt idx="66">
                  <c:v>1.3000000000000018</c:v>
                </c:pt>
                <c:pt idx="67">
                  <c:v>1.3500000000000019</c:v>
                </c:pt>
                <c:pt idx="68">
                  <c:v>1.4000000000000019</c:v>
                </c:pt>
                <c:pt idx="69">
                  <c:v>1.450000000000002</c:v>
                </c:pt>
                <c:pt idx="70">
                  <c:v>1.500000000000002</c:v>
                </c:pt>
                <c:pt idx="71">
                  <c:v>1.550000000000002</c:v>
                </c:pt>
                <c:pt idx="72">
                  <c:v>1.6000000000000021</c:v>
                </c:pt>
                <c:pt idx="73">
                  <c:v>1.6500000000000021</c:v>
                </c:pt>
                <c:pt idx="74">
                  <c:v>1.7000000000000022</c:v>
                </c:pt>
                <c:pt idx="75">
                  <c:v>1.7500000000000022</c:v>
                </c:pt>
                <c:pt idx="76">
                  <c:v>1.8000000000000023</c:v>
                </c:pt>
                <c:pt idx="77">
                  <c:v>1.8500000000000023</c:v>
                </c:pt>
                <c:pt idx="78">
                  <c:v>1.9000000000000024</c:v>
                </c:pt>
                <c:pt idx="79">
                  <c:v>1.9500000000000024</c:v>
                </c:pt>
                <c:pt idx="80">
                  <c:v>2.0000000000000022</c:v>
                </c:pt>
              </c:numCache>
            </c:numRef>
          </c:xVal>
          <c:yVal>
            <c:numRef>
              <c:f>Sheet1!$K$20:$K$100</c:f>
              <c:numCache>
                <c:formatCode>General</c:formatCode>
                <c:ptCount val="81"/>
                <c:pt idx="0">
                  <c:v>2.0580544317361227E-9</c:v>
                </c:pt>
                <c:pt idx="1">
                  <c:v>2.2118486278643879E-9</c:v>
                </c:pt>
                <c:pt idx="2">
                  <c:v>2.3204010692057242E-9</c:v>
                </c:pt>
                <c:pt idx="3">
                  <c:v>2.3658290881911626E-9</c:v>
                </c:pt>
                <c:pt idx="4">
                  <c:v>2.3284778202792289E-9</c:v>
                </c:pt>
                <c:pt idx="5">
                  <c:v>2.187665153197127E-9</c:v>
                </c:pt>
                <c:pt idx="6">
                  <c:v>1.9227833214507939E-9</c:v>
                </c:pt>
                <c:pt idx="7">
                  <c:v>1.5148063359227137E-9</c:v>
                </c:pt>
                <c:pt idx="8">
                  <c:v>9.4823880691929929E-10</c:v>
                </c:pt>
                <c:pt idx="9">
                  <c:v>2.1351161810789776E-10</c:v>
                </c:pt>
                <c:pt idx="10">
                  <c:v>-6.9020686388476804E-10</c:v>
                </c:pt>
                <c:pt idx="11">
                  <c:v>-1.7518763661961145E-9</c:v>
                </c:pt>
                <c:pt idx="12">
                  <c:v>-2.9452913163918737E-9</c:v>
                </c:pt>
                <c:pt idx="13">
                  <c:v>-4.2258911370218755E-9</c:v>
                </c:pt>
                <c:pt idx="14">
                  <c:v>-5.5280482413877507E-9</c:v>
                </c:pt>
                <c:pt idx="15">
                  <c:v>-6.7633383060705654E-9</c:v>
                </c:pt>
                <c:pt idx="16">
                  <c:v>-7.8204319547969803E-9</c:v>
                </c:pt>
                <c:pt idx="17">
                  <c:v>-8.5673746985648336E-9</c:v>
                </c:pt>
                <c:pt idx="18">
                  <c:v>-8.8571149026162033E-9</c:v>
                </c:pt>
                <c:pt idx="19">
                  <c:v>-8.5371688607338569E-9</c:v>
                </c:pt>
                <c:pt idx="20">
                  <c:v>-7.4642182157358405E-9</c:v>
                </c:pt>
                <c:pt idx="21">
                  <c:v>-5.5241604624001184E-9</c:v>
                </c:pt>
                <c:pt idx="22">
                  <c:v>-2.657589537324867E-9</c:v>
                </c:pt>
                <c:pt idx="23">
                  <c:v>1.1102371799687205E-9</c:v>
                </c:pt>
                <c:pt idx="24">
                  <c:v>5.6372815027128098E-9</c:v>
                </c:pt>
                <c:pt idx="25">
                  <c:v>1.0634777919404925E-8</c:v>
                </c:pt>
                <c:pt idx="26">
                  <c:v>1.5646393403123682E-8</c:v>
                </c:pt>
                <c:pt idx="27">
                  <c:v>2.0046628079750661E-8</c:v>
                </c:pt>
                <c:pt idx="28">
                  <c:v>2.3072072086183226E-8</c:v>
                </c:pt>
                <c:pt idx="29">
                  <c:v>2.3902187229474237E-8</c:v>
                </c:pt>
                <c:pt idx="30">
                  <c:v>2.180738456480924E-8</c:v>
                </c:pt>
                <c:pt idx="31">
                  <c:v>1.6378527312177482E-8</c:v>
                </c:pt>
                <c:pt idx="32">
                  <c:v>7.8385495871913236E-9</c:v>
                </c:pt>
                <c:pt idx="33">
                  <c:v>-2.5950152027220952E-9</c:v>
                </c:pt>
                <c:pt idx="34">
                  <c:v>-1.2392718518050572E-8</c:v>
                </c:pt>
                <c:pt idx="35">
                  <c:v>-1.76592011014165E-8</c:v>
                </c:pt>
                <c:pt idx="36">
                  <c:v>-1.3778808705122714E-8</c:v>
                </c:pt>
                <c:pt idx="37">
                  <c:v>2.4254047659155731E-9</c:v>
                </c:pt>
                <c:pt idx="38">
                  <c:v>2.7567778559944855E-8</c:v>
                </c:pt>
                <c:pt idx="39">
                  <c:v>4.1101242576058183E-8</c:v>
                </c:pt>
                <c:pt idx="40">
                  <c:v>1.500000013088254E-8</c:v>
                </c:pt>
                <c:pt idx="41">
                  <c:v>-4.1101242631569335E-8</c:v>
                </c:pt>
                <c:pt idx="42">
                  <c:v>-2.7567778504433704E-8</c:v>
                </c:pt>
                <c:pt idx="43">
                  <c:v>-2.4254047659155731E-9</c:v>
                </c:pt>
                <c:pt idx="44">
                  <c:v>1.3778808760633865E-8</c:v>
                </c:pt>
                <c:pt idx="45">
                  <c:v>1.76592011014165E-8</c:v>
                </c:pt>
                <c:pt idx="46">
                  <c:v>1.2392718407028269E-8</c:v>
                </c:pt>
                <c:pt idx="47">
                  <c:v>2.5950152027220952E-9</c:v>
                </c:pt>
                <c:pt idx="48">
                  <c:v>-7.8385495871913236E-9</c:v>
                </c:pt>
                <c:pt idx="49">
                  <c:v>-1.6378527312177482E-8</c:v>
                </c:pt>
                <c:pt idx="50">
                  <c:v>-2.180738456480924E-8</c:v>
                </c:pt>
                <c:pt idx="51">
                  <c:v>-2.3902187118451934E-8</c:v>
                </c:pt>
                <c:pt idx="52">
                  <c:v>-2.3072072030672075E-8</c:v>
                </c:pt>
                <c:pt idx="53">
                  <c:v>-2.0046628135261813E-8</c:v>
                </c:pt>
                <c:pt idx="54">
                  <c:v>-1.5646393514145984E-8</c:v>
                </c:pt>
                <c:pt idx="55">
                  <c:v>-1.0634777836138198E-8</c:v>
                </c:pt>
                <c:pt idx="56">
                  <c:v>-5.637281419446083E-9</c:v>
                </c:pt>
                <c:pt idx="57">
                  <c:v>-1.1102371244575693E-9</c:v>
                </c:pt>
                <c:pt idx="58">
                  <c:v>2.6575894818137158E-9</c:v>
                </c:pt>
                <c:pt idx="59">
                  <c:v>5.5241605734224208E-9</c:v>
                </c:pt>
                <c:pt idx="60">
                  <c:v>7.4642182434914162E-9</c:v>
                </c:pt>
                <c:pt idx="61">
                  <c:v>8.5371688607338569E-9</c:v>
                </c:pt>
                <c:pt idx="62">
                  <c:v>8.8571149303717789E-9</c:v>
                </c:pt>
                <c:pt idx="63">
                  <c:v>8.5673746985648336E-9</c:v>
                </c:pt>
                <c:pt idx="64">
                  <c:v>7.8204319686747681E-9</c:v>
                </c:pt>
                <c:pt idx="65">
                  <c:v>6.763338333826141E-9</c:v>
                </c:pt>
                <c:pt idx="66">
                  <c:v>5.5280482413877507E-9</c:v>
                </c:pt>
                <c:pt idx="67">
                  <c:v>4.2258910815107242E-9</c:v>
                </c:pt>
                <c:pt idx="68">
                  <c:v>2.9452913441474493E-9</c:v>
                </c:pt>
                <c:pt idx="69">
                  <c:v>1.7518763106849633E-9</c:v>
                </c:pt>
                <c:pt idx="70">
                  <c:v>6.9020689164034366E-10</c:v>
                </c:pt>
                <c:pt idx="71">
                  <c:v>-2.1351154178006482E-10</c:v>
                </c:pt>
                <c:pt idx="72">
                  <c:v>-9.482388207970871E-10</c:v>
                </c:pt>
                <c:pt idx="73">
                  <c:v>-1.514806391433865E-9</c:v>
                </c:pt>
                <c:pt idx="74">
                  <c:v>-1.9227832659396427E-9</c:v>
                </c:pt>
                <c:pt idx="75">
                  <c:v>-2.1876651601360209E-9</c:v>
                </c:pt>
                <c:pt idx="76">
                  <c:v>-2.3284778549736984E-9</c:v>
                </c:pt>
                <c:pt idx="77">
                  <c:v>-2.3658290881911626E-9</c:v>
                </c:pt>
                <c:pt idx="78">
                  <c:v>-2.3204010934918529E-9</c:v>
                </c:pt>
                <c:pt idx="79">
                  <c:v>-2.2118485931699183E-9</c:v>
                </c:pt>
                <c:pt idx="80">
                  <c:v>-2.0580545045945087E-9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73-4BCA-A20A-AF581BFAD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2734991"/>
        <c:axId val="782734159"/>
      </c:scatterChart>
      <c:valAx>
        <c:axId val="78273499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734159"/>
        <c:crosses val="autoZero"/>
        <c:crossBetween val="midCat"/>
      </c:valAx>
      <c:valAx>
        <c:axId val="7827341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273499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251460</xdr:colOff>
      <xdr:row>15</xdr:row>
      <xdr:rowOff>53340</xdr:rowOff>
    </xdr:from>
    <xdr:to>
      <xdr:col>18</xdr:col>
      <xdr:colOff>556260</xdr:colOff>
      <xdr:row>30</xdr:row>
      <xdr:rowOff>53340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516A79B5-F769-444E-BECC-F1F6A89287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D5223-8550-4375-883E-0F398487D043}">
  <sheetPr codeName="Sheet1"/>
  <dimension ref="E4:K100"/>
  <sheetViews>
    <sheetView tabSelected="1" topLeftCell="A3" workbookViewId="0">
      <selection activeCell="N8" sqref="N8"/>
    </sheetView>
  </sheetViews>
  <sheetFormatPr defaultRowHeight="14.4" x14ac:dyDescent="0.3"/>
  <cols>
    <col min="6" max="6" width="12" bestFit="1" customWidth="1"/>
    <col min="11" max="11" width="12" bestFit="1" customWidth="1"/>
  </cols>
  <sheetData>
    <row r="4" spans="5:6" x14ac:dyDescent="0.3">
      <c r="E4" t="s">
        <v>0</v>
      </c>
      <c r="F4">
        <v>-0.9</v>
      </c>
    </row>
    <row r="6" spans="5:6" x14ac:dyDescent="0.3">
      <c r="E6" t="s">
        <v>5</v>
      </c>
      <c r="F6">
        <f>ABS(F4)/2^0.5</f>
        <v>0.63639610306789274</v>
      </c>
    </row>
    <row r="7" spans="5:6" x14ac:dyDescent="0.3">
      <c r="E7" t="s">
        <v>1</v>
      </c>
      <c r="F7">
        <f xml:space="preserve"> 1/(1+0.5*F6)</f>
        <v>0.75861134738921121</v>
      </c>
    </row>
    <row r="8" spans="5:6" x14ac:dyDescent="0.3">
      <c r="E8" t="s">
        <v>2</v>
      </c>
      <c r="F8">
        <f>F7*EXP(-F6*F6-1.26551223+F7*(1.00002368+F7*(0.37409196+F7*(0.09678418+F7*(-0.18628806+F7*(0.27886807+F7*(-1.13520398+F7*(1.48851587+F7*(-0.82215223+F7*0.17087277)))))))))/2</f>
        <v>0.18406012800434837</v>
      </c>
    </row>
    <row r="9" spans="5:6" x14ac:dyDescent="0.3">
      <c r="E9" t="s">
        <v>8</v>
      </c>
      <c r="F9">
        <f>IF(F4&lt;0,F8,1-F8)</f>
        <v>0.18406012800434837</v>
      </c>
    </row>
    <row r="12" spans="5:6" x14ac:dyDescent="0.3">
      <c r="E12" t="s">
        <v>3</v>
      </c>
      <c r="F12">
        <f>NORMSDIST(F4)</f>
        <v>0.1840601253467595</v>
      </c>
    </row>
    <row r="13" spans="5:6" x14ac:dyDescent="0.3">
      <c r="E13" t="s">
        <v>4</v>
      </c>
      <c r="F13">
        <f>F9-F12</f>
        <v>2.6575888711910522E-9</v>
      </c>
    </row>
    <row r="15" spans="5:6" x14ac:dyDescent="0.3">
      <c r="E15" t="s">
        <v>6</v>
      </c>
    </row>
    <row r="16" spans="5:6" x14ac:dyDescent="0.3">
      <c r="F16" cm="1">
        <f t="array" ref="F16">mynormsdist(F4)</f>
        <v>0.18406012800434901</v>
      </c>
    </row>
    <row r="17" spans="5:11" x14ac:dyDescent="0.3">
      <c r="E17" t="s">
        <v>7</v>
      </c>
    </row>
    <row r="18" spans="5:11" x14ac:dyDescent="0.3">
      <c r="F18">
        <f>F16-F9</f>
        <v>6.3837823915946501E-16</v>
      </c>
    </row>
    <row r="19" spans="5:11" x14ac:dyDescent="0.3">
      <c r="J19" t="s">
        <v>9</v>
      </c>
      <c r="K19" t="s">
        <v>4</v>
      </c>
    </row>
    <row r="20" spans="5:11" x14ac:dyDescent="0.3">
      <c r="F20">
        <v>-2</v>
      </c>
      <c r="G20">
        <f>NORMSDIST(F20)</f>
        <v>2.2750131948179191E-2</v>
      </c>
      <c r="H20" cm="1">
        <f t="array" ref="H20">mynormsdist(F20)</f>
        <v>2.275012989012476E-2</v>
      </c>
      <c r="J20">
        <f>F20</f>
        <v>-2</v>
      </c>
      <c r="K20">
        <f>G20-H20</f>
        <v>2.0580544317361227E-9</v>
      </c>
    </row>
    <row r="21" spans="5:11" x14ac:dyDescent="0.3">
      <c r="F21">
        <f>F20+0.05</f>
        <v>-1.95</v>
      </c>
      <c r="G21">
        <f t="shared" ref="G21:G84" si="0">NORMSDIST(F21)</f>
        <v>2.5588059521638607E-2</v>
      </c>
      <c r="H21" cm="1">
        <f t="array" ref="H21">mynormsdist(F21)</f>
        <v>2.5588057309789979E-2</v>
      </c>
      <c r="J21">
        <f t="shared" ref="J21:J84" si="1">F21</f>
        <v>-1.95</v>
      </c>
      <c r="K21">
        <f t="shared" ref="K21:K84" si="2">G21-H21</f>
        <v>2.2118486278643879E-9</v>
      </c>
    </row>
    <row r="22" spans="5:11" x14ac:dyDescent="0.3">
      <c r="F22">
        <f t="shared" ref="F22:F85" si="3">F21+0.05</f>
        <v>-1.9</v>
      </c>
      <c r="G22">
        <f t="shared" si="0"/>
        <v>2.87165598160018E-2</v>
      </c>
      <c r="H22" cm="1">
        <f t="array" ref="H22">mynormsdist(F22)</f>
        <v>2.8716557495600731E-2</v>
      </c>
      <c r="J22">
        <f t="shared" si="1"/>
        <v>-1.9</v>
      </c>
      <c r="K22">
        <f t="shared" si="2"/>
        <v>2.3204010692057242E-9</v>
      </c>
    </row>
    <row r="23" spans="5:11" x14ac:dyDescent="0.3">
      <c r="F23">
        <f t="shared" si="3"/>
        <v>-1.8499999999999999</v>
      </c>
      <c r="G23">
        <f t="shared" si="0"/>
        <v>3.2156774795613713E-2</v>
      </c>
      <c r="H23" cm="1">
        <f t="array" ref="H23">mynormsdist(F23)</f>
        <v>3.2156772429784625E-2</v>
      </c>
      <c r="J23">
        <f t="shared" si="1"/>
        <v>-1.8499999999999999</v>
      </c>
      <c r="K23">
        <f t="shared" si="2"/>
        <v>2.3658290881911626E-9</v>
      </c>
    </row>
    <row r="24" spans="5:11" x14ac:dyDescent="0.3">
      <c r="F24">
        <f t="shared" si="3"/>
        <v>-1.7999999999999998</v>
      </c>
      <c r="G24">
        <f t="shared" si="0"/>
        <v>3.593031911292581E-2</v>
      </c>
      <c r="H24" cm="1">
        <f t="array" ref="H24">mynormsdist(F24)</f>
        <v>3.593031678444799E-2</v>
      </c>
      <c r="J24">
        <f t="shared" si="1"/>
        <v>-1.7999999999999998</v>
      </c>
      <c r="K24">
        <f t="shared" si="2"/>
        <v>2.3284778202792289E-9</v>
      </c>
    </row>
    <row r="25" spans="5:11" x14ac:dyDescent="0.3">
      <c r="F25">
        <f t="shared" si="3"/>
        <v>-1.7499999999999998</v>
      </c>
      <c r="G25">
        <f t="shared" si="0"/>
        <v>4.00591568638171E-2</v>
      </c>
      <c r="H25" cm="1">
        <f t="array" ref="H25">mynormsdist(F25)</f>
        <v>4.0059154676151947E-2</v>
      </c>
      <c r="J25">
        <f t="shared" si="1"/>
        <v>-1.7499999999999998</v>
      </c>
      <c r="K25">
        <f t="shared" si="2"/>
        <v>2.187665153197127E-9</v>
      </c>
    </row>
    <row r="26" spans="5:11" x14ac:dyDescent="0.3">
      <c r="F26">
        <f t="shared" si="3"/>
        <v>-1.6999999999999997</v>
      </c>
      <c r="G26">
        <f t="shared" si="0"/>
        <v>4.4565462758543076E-2</v>
      </c>
      <c r="H26" cm="1">
        <f t="array" ref="H26">mynormsdist(F26)</f>
        <v>4.4565460835759754E-2</v>
      </c>
      <c r="J26">
        <f t="shared" si="1"/>
        <v>-1.6999999999999997</v>
      </c>
      <c r="K26">
        <f t="shared" si="2"/>
        <v>1.9227833214507939E-9</v>
      </c>
    </row>
    <row r="27" spans="5:11" x14ac:dyDescent="0.3">
      <c r="F27">
        <f t="shared" si="3"/>
        <v>-1.6499999999999997</v>
      </c>
      <c r="G27">
        <f t="shared" si="0"/>
        <v>4.9471468033648096E-2</v>
      </c>
      <c r="H27" cm="1">
        <f t="array" ref="H27">mynormsdist(F27)</f>
        <v>4.947146651884176E-2</v>
      </c>
      <c r="J27">
        <f t="shared" si="1"/>
        <v>-1.6499999999999997</v>
      </c>
      <c r="K27">
        <f t="shared" si="2"/>
        <v>1.5148063359227137E-9</v>
      </c>
    </row>
    <row r="28" spans="5:11" x14ac:dyDescent="0.3">
      <c r="F28">
        <f t="shared" si="3"/>
        <v>-1.5999999999999996</v>
      </c>
      <c r="G28">
        <f t="shared" si="0"/>
        <v>5.4799291699558036E-2</v>
      </c>
      <c r="H28" cm="1">
        <f t="array" ref="H28">mynormsdist(F28)</f>
        <v>5.479929075131923E-2</v>
      </c>
      <c r="J28">
        <f t="shared" si="1"/>
        <v>-1.5999999999999996</v>
      </c>
      <c r="K28">
        <f t="shared" si="2"/>
        <v>9.4823880691929929E-10</v>
      </c>
    </row>
    <row r="29" spans="5:11" x14ac:dyDescent="0.3">
      <c r="F29">
        <f t="shared" si="3"/>
        <v>-1.5499999999999996</v>
      </c>
      <c r="G29">
        <f t="shared" si="0"/>
        <v>6.0570758002059043E-2</v>
      </c>
      <c r="H29" cm="1">
        <f t="array" ref="H29">mynormsdist(F29)</f>
        <v>6.0570757788547425E-2</v>
      </c>
      <c r="J29">
        <f t="shared" si="1"/>
        <v>-1.5499999999999996</v>
      </c>
      <c r="K29">
        <f t="shared" si="2"/>
        <v>2.1351161810789776E-10</v>
      </c>
    </row>
    <row r="30" spans="5:11" x14ac:dyDescent="0.3">
      <c r="F30">
        <f t="shared" si="3"/>
        <v>-1.4999999999999996</v>
      </c>
      <c r="G30">
        <f t="shared" si="0"/>
        <v>6.6807201268858127E-2</v>
      </c>
      <c r="H30" cm="1">
        <f t="array" ref="H30">mynormsdist(F30)</f>
        <v>6.6807201959064991E-2</v>
      </c>
      <c r="J30">
        <f t="shared" si="1"/>
        <v>-1.4999999999999996</v>
      </c>
      <c r="K30">
        <f t="shared" si="2"/>
        <v>-6.9020686388476804E-10</v>
      </c>
    </row>
    <row r="31" spans="5:11" x14ac:dyDescent="0.3">
      <c r="F31">
        <f t="shared" si="3"/>
        <v>-1.4499999999999995</v>
      </c>
      <c r="G31">
        <f t="shared" si="0"/>
        <v>7.3529259609648401E-2</v>
      </c>
      <c r="H31" cm="1">
        <f t="array" ref="H31">mynormsdist(F31)</f>
        <v>7.3529261361524767E-2</v>
      </c>
      <c r="J31">
        <f t="shared" si="1"/>
        <v>-1.4499999999999995</v>
      </c>
      <c r="K31">
        <f t="shared" si="2"/>
        <v>-1.7518763661961145E-9</v>
      </c>
    </row>
    <row r="32" spans="5:11" x14ac:dyDescent="0.3">
      <c r="F32">
        <f t="shared" si="3"/>
        <v>-1.3999999999999995</v>
      </c>
      <c r="G32">
        <f t="shared" si="0"/>
        <v>8.0756659233771108E-2</v>
      </c>
      <c r="H32" cm="1">
        <f t="array" ref="H32">mynormsdist(F32)</f>
        <v>8.0756662179062425E-2</v>
      </c>
      <c r="J32">
        <f t="shared" si="1"/>
        <v>-1.3999999999999995</v>
      </c>
      <c r="K32">
        <f t="shared" si="2"/>
        <v>-2.9452913163918737E-9</v>
      </c>
    </row>
    <row r="33" spans="6:11" x14ac:dyDescent="0.3">
      <c r="F33">
        <f t="shared" si="3"/>
        <v>-1.3499999999999994</v>
      </c>
      <c r="G33">
        <f t="shared" si="0"/>
        <v>8.8507991437402081E-2</v>
      </c>
      <c r="H33" cm="1">
        <f t="array" ref="H33">mynormsdist(F33)</f>
        <v>8.8507995663293218E-2</v>
      </c>
      <c r="J33">
        <f t="shared" si="1"/>
        <v>-1.3499999999999994</v>
      </c>
      <c r="K33">
        <f t="shared" si="2"/>
        <v>-4.2258911370218755E-9</v>
      </c>
    </row>
    <row r="34" spans="6:11" x14ac:dyDescent="0.3">
      <c r="F34">
        <f t="shared" si="3"/>
        <v>-1.2999999999999994</v>
      </c>
      <c r="G34">
        <f t="shared" si="0"/>
        <v>9.6800484585610427E-2</v>
      </c>
      <c r="H34" cm="1">
        <f t="array" ref="H34">mynormsdist(F34)</f>
        <v>9.6800490113658669E-2</v>
      </c>
      <c r="J34">
        <f t="shared" si="1"/>
        <v>-1.2999999999999994</v>
      </c>
      <c r="K34">
        <f t="shared" si="2"/>
        <v>-5.5280482413877507E-9</v>
      </c>
    </row>
    <row r="35" spans="6:11" x14ac:dyDescent="0.3">
      <c r="F35">
        <f t="shared" si="3"/>
        <v>-1.2499999999999993</v>
      </c>
      <c r="G35">
        <f t="shared" si="0"/>
        <v>0.10564977366685536</v>
      </c>
      <c r="H35" cm="1">
        <f t="array" ref="H35">mynormsdist(F35)</f>
        <v>0.10564978043019367</v>
      </c>
      <c r="J35">
        <f t="shared" si="1"/>
        <v>-1.2499999999999993</v>
      </c>
      <c r="K35">
        <f t="shared" si="2"/>
        <v>-6.7633383060705654E-9</v>
      </c>
    </row>
    <row r="36" spans="6:11" x14ac:dyDescent="0.3">
      <c r="F36">
        <f t="shared" si="3"/>
        <v>-1.1999999999999993</v>
      </c>
      <c r="G36">
        <f t="shared" si="0"/>
        <v>0.1150696702217084</v>
      </c>
      <c r="H36" cm="1">
        <f t="array" ref="H36">mynormsdist(F36)</f>
        <v>0.11506967804214036</v>
      </c>
      <c r="J36">
        <f t="shared" si="1"/>
        <v>-1.1999999999999993</v>
      </c>
      <c r="K36">
        <f t="shared" si="2"/>
        <v>-7.8204319547969803E-9</v>
      </c>
    </row>
    <row r="37" spans="6:11" x14ac:dyDescent="0.3">
      <c r="F37">
        <f t="shared" si="3"/>
        <v>-1.1499999999999992</v>
      </c>
      <c r="G37">
        <f t="shared" si="0"/>
        <v>0.12507193563715038</v>
      </c>
      <c r="H37" cm="1">
        <f t="array" ref="H37">mynormsdist(F37)</f>
        <v>0.12507194420452508</v>
      </c>
      <c r="J37">
        <f t="shared" si="1"/>
        <v>-1.1499999999999992</v>
      </c>
      <c r="K37">
        <f t="shared" si="2"/>
        <v>-8.5673746985648336E-9</v>
      </c>
    </row>
    <row r="38" spans="6:11" x14ac:dyDescent="0.3">
      <c r="F38">
        <f t="shared" si="3"/>
        <v>-1.0999999999999992</v>
      </c>
      <c r="G38">
        <f t="shared" si="0"/>
        <v>0.13566606094638284</v>
      </c>
      <c r="H38" cm="1">
        <f t="array" ref="H38">mynormsdist(F38)</f>
        <v>0.13566606980349774</v>
      </c>
      <c r="J38">
        <f t="shared" si="1"/>
        <v>-1.0999999999999992</v>
      </c>
      <c r="K38">
        <f t="shared" si="2"/>
        <v>-8.8571149026162033E-9</v>
      </c>
    </row>
    <row r="39" spans="6:11" x14ac:dyDescent="0.3">
      <c r="F39">
        <f t="shared" si="3"/>
        <v>-1.0499999999999992</v>
      </c>
      <c r="G39">
        <f t="shared" si="0"/>
        <v>0.14685905637589616</v>
      </c>
      <c r="H39" cm="1">
        <f t="array" ref="H39">mynormsdist(F39)</f>
        <v>0.14685906491306502</v>
      </c>
      <c r="J39">
        <f t="shared" si="1"/>
        <v>-1.0499999999999992</v>
      </c>
      <c r="K39">
        <f t="shared" si="2"/>
        <v>-8.5371688607338569E-9</v>
      </c>
    </row>
    <row r="40" spans="6:11" x14ac:dyDescent="0.3">
      <c r="F40">
        <f t="shared" si="3"/>
        <v>-0.99999999999999911</v>
      </c>
      <c r="G40">
        <f t="shared" si="0"/>
        <v>0.15865525393145727</v>
      </c>
      <c r="H40" cm="1">
        <f t="array" ref="H40">mynormsdist(F40)</f>
        <v>0.15865526139567548</v>
      </c>
      <c r="J40">
        <f t="shared" si="1"/>
        <v>-0.99999999999999911</v>
      </c>
      <c r="K40">
        <f t="shared" si="2"/>
        <v>-7.4642182157358405E-9</v>
      </c>
    </row>
    <row r="41" spans="6:11" x14ac:dyDescent="0.3">
      <c r="F41">
        <f t="shared" si="3"/>
        <v>-0.94999999999999907</v>
      </c>
      <c r="G41">
        <f t="shared" si="0"/>
        <v>0.17105612630848208</v>
      </c>
      <c r="H41" cm="1">
        <f t="array" ref="H41">mynormsdist(F41)</f>
        <v>0.17105613183264254</v>
      </c>
      <c r="J41">
        <f t="shared" si="1"/>
        <v>-0.94999999999999907</v>
      </c>
      <c r="K41">
        <f t="shared" si="2"/>
        <v>-5.5241604624001184E-9</v>
      </c>
    </row>
    <row r="42" spans="6:11" x14ac:dyDescent="0.3">
      <c r="F42">
        <f t="shared" si="3"/>
        <v>-0.89999999999999902</v>
      </c>
      <c r="G42">
        <f t="shared" si="0"/>
        <v>0.18406012534675975</v>
      </c>
      <c r="H42" cm="1">
        <f t="array" ref="H42">mynormsdist(F42)</f>
        <v>0.18406012800434929</v>
      </c>
      <c r="J42">
        <f t="shared" si="1"/>
        <v>-0.89999999999999902</v>
      </c>
      <c r="K42">
        <f t="shared" si="2"/>
        <v>-2.657589537324867E-9</v>
      </c>
    </row>
    <row r="43" spans="6:11" x14ac:dyDescent="0.3">
      <c r="F43">
        <f t="shared" si="3"/>
        <v>-0.84999999999999898</v>
      </c>
      <c r="G43">
        <f t="shared" si="0"/>
        <v>0.19766254312269266</v>
      </c>
      <c r="H43" cm="1">
        <f t="array" ref="H43">mynormsdist(F43)</f>
        <v>0.19766254201245548</v>
      </c>
      <c r="J43">
        <f t="shared" si="1"/>
        <v>-0.84999999999999898</v>
      </c>
      <c r="K43">
        <f t="shared" si="2"/>
        <v>1.1102371799687205E-9</v>
      </c>
    </row>
    <row r="44" spans="6:11" x14ac:dyDescent="0.3">
      <c r="F44">
        <f t="shared" si="3"/>
        <v>-0.79999999999999893</v>
      </c>
      <c r="G44">
        <f t="shared" si="0"/>
        <v>0.21185539858339703</v>
      </c>
      <c r="H44" cm="1">
        <f t="array" ref="H44">mynormsdist(F44)</f>
        <v>0.21185539294611552</v>
      </c>
      <c r="J44">
        <f t="shared" si="1"/>
        <v>-0.79999999999999893</v>
      </c>
      <c r="K44">
        <f t="shared" si="2"/>
        <v>5.6372815027128098E-9</v>
      </c>
    </row>
    <row r="45" spans="6:11" x14ac:dyDescent="0.3">
      <c r="F45">
        <f t="shared" si="3"/>
        <v>-0.74999999999999889</v>
      </c>
      <c r="G45">
        <f t="shared" si="0"/>
        <v>0.22662735237686854</v>
      </c>
      <c r="H45" cm="1">
        <f t="array" ref="H45">mynormsdist(F45)</f>
        <v>0.22662734174209062</v>
      </c>
      <c r="J45">
        <f t="shared" si="1"/>
        <v>-0.74999999999999889</v>
      </c>
      <c r="K45">
        <f t="shared" si="2"/>
        <v>1.0634777919404925E-8</v>
      </c>
    </row>
    <row r="46" spans="6:11" x14ac:dyDescent="0.3">
      <c r="F46">
        <f t="shared" si="3"/>
        <v>-0.69999999999999885</v>
      </c>
      <c r="G46">
        <f t="shared" si="0"/>
        <v>0.24196365222307331</v>
      </c>
      <c r="H46" cm="1">
        <f t="array" ref="H46">mynormsdist(F46)</f>
        <v>0.24196363657667991</v>
      </c>
      <c r="J46">
        <f t="shared" si="1"/>
        <v>-0.69999999999999885</v>
      </c>
      <c r="K46">
        <f t="shared" si="2"/>
        <v>1.5646393403123682E-8</v>
      </c>
    </row>
    <row r="47" spans="6:11" x14ac:dyDescent="0.3">
      <c r="F47">
        <f t="shared" si="3"/>
        <v>-0.6499999999999988</v>
      </c>
      <c r="G47">
        <f t="shared" si="0"/>
        <v>0.25784611080586506</v>
      </c>
      <c r="H47" cm="1">
        <f t="array" ref="H47">mynormsdist(F47)</f>
        <v>0.25784609075923698</v>
      </c>
      <c r="J47">
        <f t="shared" si="1"/>
        <v>-0.6499999999999988</v>
      </c>
      <c r="K47">
        <f t="shared" si="2"/>
        <v>2.0046628079750661E-8</v>
      </c>
    </row>
    <row r="48" spans="6:11" x14ac:dyDescent="0.3">
      <c r="F48">
        <f t="shared" si="3"/>
        <v>-0.59999999999999876</v>
      </c>
      <c r="G48">
        <f t="shared" si="0"/>
        <v>0.27425311775007399</v>
      </c>
      <c r="H48" cm="1">
        <f t="array" ref="H48">mynormsdist(F48)</f>
        <v>0.27425309467800191</v>
      </c>
      <c r="J48">
        <f t="shared" si="1"/>
        <v>-0.59999999999999876</v>
      </c>
      <c r="K48">
        <f t="shared" si="2"/>
        <v>2.3072072086183226E-8</v>
      </c>
    </row>
    <row r="49" spans="6:11" x14ac:dyDescent="0.3">
      <c r="F49">
        <f t="shared" si="3"/>
        <v>-0.54999999999999871</v>
      </c>
      <c r="G49">
        <f t="shared" si="0"/>
        <v>0.29115968678834681</v>
      </c>
      <c r="H49" cm="1">
        <f t="array" ref="H49">mynormsdist(F49)</f>
        <v>0.29115966288615958</v>
      </c>
      <c r="J49">
        <f t="shared" si="1"/>
        <v>-0.54999999999999871</v>
      </c>
      <c r="K49">
        <f t="shared" si="2"/>
        <v>2.3902187229474237E-8</v>
      </c>
    </row>
    <row r="50" spans="6:11" x14ac:dyDescent="0.3">
      <c r="F50">
        <f t="shared" si="3"/>
        <v>-0.49999999999999872</v>
      </c>
      <c r="G50">
        <f t="shared" si="0"/>
        <v>0.30853753872598733</v>
      </c>
      <c r="H50" cm="1">
        <f t="array" ref="H50">mynormsdist(F50)</f>
        <v>0.30853751691860276</v>
      </c>
      <c r="J50">
        <f t="shared" si="1"/>
        <v>-0.49999999999999872</v>
      </c>
      <c r="K50">
        <f t="shared" si="2"/>
        <v>2.180738456480924E-8</v>
      </c>
    </row>
    <row r="51" spans="6:11" x14ac:dyDescent="0.3">
      <c r="F51">
        <f t="shared" si="3"/>
        <v>-0.44999999999999873</v>
      </c>
      <c r="G51">
        <f t="shared" si="0"/>
        <v>0.32635522028792041</v>
      </c>
      <c r="H51" cm="1">
        <f t="array" ref="H51">mynormsdist(F51)</f>
        <v>0.3263552039093931</v>
      </c>
      <c r="J51">
        <f t="shared" si="1"/>
        <v>-0.44999999999999873</v>
      </c>
      <c r="K51">
        <f t="shared" si="2"/>
        <v>1.6378527312177482E-8</v>
      </c>
    </row>
    <row r="52" spans="6:11" x14ac:dyDescent="0.3">
      <c r="F52">
        <f t="shared" si="3"/>
        <v>-0.39999999999999875</v>
      </c>
      <c r="G52">
        <f t="shared" si="0"/>
        <v>0.34457825838967626</v>
      </c>
      <c r="H52" cm="1">
        <f t="array" ref="H52">mynormsdist(F52)</f>
        <v>0.34457825055112667</v>
      </c>
      <c r="J52">
        <f t="shared" si="1"/>
        <v>-0.39999999999999875</v>
      </c>
      <c r="K52">
        <f t="shared" si="2"/>
        <v>7.8385495871913236E-9</v>
      </c>
    </row>
    <row r="53" spans="6:11" x14ac:dyDescent="0.3">
      <c r="F53">
        <f t="shared" si="3"/>
        <v>-0.34999999999999876</v>
      </c>
      <c r="G53">
        <f t="shared" si="0"/>
        <v>0.36316934882438134</v>
      </c>
      <c r="H53" cm="1">
        <f t="array" ref="H53">mynormsdist(F53)</f>
        <v>0.36316935141939655</v>
      </c>
      <c r="J53">
        <f t="shared" si="1"/>
        <v>-0.34999999999999876</v>
      </c>
      <c r="K53">
        <f t="shared" si="2"/>
        <v>-2.5950152027220952E-9</v>
      </c>
    </row>
    <row r="54" spans="6:11" x14ac:dyDescent="0.3">
      <c r="F54">
        <f t="shared" si="3"/>
        <v>-0.29999999999999877</v>
      </c>
      <c r="G54">
        <f t="shared" si="0"/>
        <v>0.38208857781104782</v>
      </c>
      <c r="H54" cm="1">
        <f t="array" ref="H54">mynormsdist(F54)</f>
        <v>0.38208859020376634</v>
      </c>
      <c r="J54">
        <f t="shared" si="1"/>
        <v>-0.29999999999999877</v>
      </c>
      <c r="K54">
        <f t="shared" si="2"/>
        <v>-1.2392718518050572E-8</v>
      </c>
    </row>
    <row r="55" spans="6:11" x14ac:dyDescent="0.3">
      <c r="F55">
        <f t="shared" si="3"/>
        <v>-0.24999999999999878</v>
      </c>
      <c r="G55">
        <f t="shared" si="0"/>
        <v>0.40129367431707674</v>
      </c>
      <c r="H55" cm="1">
        <f t="array" ref="H55">mynormsdist(F55)</f>
        <v>0.40129369197627784</v>
      </c>
      <c r="J55">
        <f t="shared" si="1"/>
        <v>-0.24999999999999878</v>
      </c>
      <c r="K55">
        <f t="shared" si="2"/>
        <v>-1.76592011014165E-8</v>
      </c>
    </row>
    <row r="56" spans="6:11" x14ac:dyDescent="0.3">
      <c r="F56">
        <f t="shared" si="3"/>
        <v>-0.19999999999999879</v>
      </c>
      <c r="G56">
        <f t="shared" si="0"/>
        <v>0.42074029056089746</v>
      </c>
      <c r="H56" cm="1">
        <f t="array" ref="H56">mynormsdist(F56)</f>
        <v>0.42074030433970616</v>
      </c>
      <c r="J56">
        <f t="shared" si="1"/>
        <v>-0.19999999999999879</v>
      </c>
      <c r="K56">
        <f t="shared" si="2"/>
        <v>-1.3778808705122714E-8</v>
      </c>
    </row>
    <row r="57" spans="6:11" x14ac:dyDescent="0.3">
      <c r="F57">
        <f t="shared" si="3"/>
        <v>-0.1499999999999988</v>
      </c>
      <c r="G57">
        <f t="shared" si="0"/>
        <v>0.44038230762975794</v>
      </c>
      <c r="H57" cm="1">
        <f t="array" ref="H57">mynormsdist(F57)</f>
        <v>0.44038230520435317</v>
      </c>
      <c r="J57">
        <f t="shared" si="1"/>
        <v>-0.1499999999999988</v>
      </c>
      <c r="K57">
        <f t="shared" si="2"/>
        <v>2.4254047659155731E-9</v>
      </c>
    </row>
    <row r="58" spans="6:11" x14ac:dyDescent="0.3">
      <c r="F58">
        <f t="shared" si="3"/>
        <v>-9.9999999999998798E-2</v>
      </c>
      <c r="G58">
        <f t="shared" si="0"/>
        <v>0.46017216272297151</v>
      </c>
      <c r="H58" cm="1">
        <f t="array" ref="H58">mynormsdist(F58)</f>
        <v>0.46017213515519295</v>
      </c>
      <c r="J58">
        <f t="shared" si="1"/>
        <v>-9.9999999999998798E-2</v>
      </c>
      <c r="K58">
        <f t="shared" si="2"/>
        <v>2.7567778559944855E-8</v>
      </c>
    </row>
    <row r="59" spans="6:11" x14ac:dyDescent="0.3">
      <c r="F59">
        <f t="shared" si="3"/>
        <v>-4.9999999999998795E-2</v>
      </c>
      <c r="G59">
        <f t="shared" si="0"/>
        <v>0.48006119416162801</v>
      </c>
      <c r="H59" cm="1">
        <f t="array" ref="H59">mynormsdist(F59)</f>
        <v>0.48006115306038544</v>
      </c>
      <c r="J59">
        <f t="shared" si="1"/>
        <v>-4.9999999999998795E-2</v>
      </c>
      <c r="K59">
        <f t="shared" si="2"/>
        <v>4.1101242576058183E-8</v>
      </c>
    </row>
    <row r="60" spans="6:11" x14ac:dyDescent="0.3">
      <c r="F60">
        <f t="shared" si="3"/>
        <v>1.2073675392798577E-15</v>
      </c>
      <c r="G60">
        <f t="shared" si="0"/>
        <v>0.50000000000000044</v>
      </c>
      <c r="H60" cm="1">
        <f t="array" ref="H60">mynormsdist(F60)</f>
        <v>0.49999998500000031</v>
      </c>
      <c r="J60">
        <f t="shared" si="1"/>
        <v>1.2073675392798577E-15</v>
      </c>
      <c r="K60">
        <f t="shared" si="2"/>
        <v>1.500000013088254E-8</v>
      </c>
    </row>
    <row r="61" spans="6:11" x14ac:dyDescent="0.3">
      <c r="F61">
        <f t="shared" si="3"/>
        <v>5.000000000000121E-2</v>
      </c>
      <c r="G61">
        <f t="shared" si="0"/>
        <v>0.51993880583837293</v>
      </c>
      <c r="H61" cm="1">
        <f t="array" ref="H61">mynormsdist(F61)</f>
        <v>0.51993884693961556</v>
      </c>
      <c r="J61">
        <f t="shared" si="1"/>
        <v>5.000000000000121E-2</v>
      </c>
      <c r="K61">
        <f t="shared" si="2"/>
        <v>-4.1101242631569335E-8</v>
      </c>
    </row>
    <row r="62" spans="6:11" x14ac:dyDescent="0.3">
      <c r="F62">
        <f t="shared" si="3"/>
        <v>0.10000000000000121</v>
      </c>
      <c r="G62">
        <f t="shared" si="0"/>
        <v>0.53982783727702954</v>
      </c>
      <c r="H62" cm="1">
        <f t="array" ref="H62">mynormsdist(F62)</f>
        <v>0.53982786484480805</v>
      </c>
      <c r="J62">
        <f t="shared" si="1"/>
        <v>0.10000000000000121</v>
      </c>
      <c r="K62">
        <f t="shared" si="2"/>
        <v>-2.7567778504433704E-8</v>
      </c>
    </row>
    <row r="63" spans="6:11" x14ac:dyDescent="0.3">
      <c r="F63">
        <f t="shared" si="3"/>
        <v>0.15000000000000122</v>
      </c>
      <c r="G63">
        <f t="shared" si="0"/>
        <v>0.55961769237024295</v>
      </c>
      <c r="H63" cm="1">
        <f t="array" ref="H63">mynormsdist(F63)</f>
        <v>0.55961769479564771</v>
      </c>
      <c r="J63">
        <f t="shared" si="1"/>
        <v>0.15000000000000122</v>
      </c>
      <c r="K63">
        <f t="shared" si="2"/>
        <v>-2.4254047659155731E-9</v>
      </c>
    </row>
    <row r="64" spans="6:11" x14ac:dyDescent="0.3">
      <c r="F64">
        <f t="shared" si="3"/>
        <v>0.20000000000000123</v>
      </c>
      <c r="G64">
        <f t="shared" si="0"/>
        <v>0.57925970943910354</v>
      </c>
      <c r="H64" cm="1">
        <f t="array" ref="H64">mynormsdist(F64)</f>
        <v>0.57925969566029478</v>
      </c>
      <c r="J64">
        <f t="shared" si="1"/>
        <v>0.20000000000000123</v>
      </c>
      <c r="K64">
        <f t="shared" si="2"/>
        <v>1.3778808760633865E-8</v>
      </c>
    </row>
    <row r="65" spans="6:11" x14ac:dyDescent="0.3">
      <c r="F65">
        <f t="shared" si="3"/>
        <v>0.25000000000000122</v>
      </c>
      <c r="G65">
        <f t="shared" si="0"/>
        <v>0.59870632568292415</v>
      </c>
      <c r="H65" cm="1">
        <f t="array" ref="H65">mynormsdist(F65)</f>
        <v>0.59870630802372304</v>
      </c>
      <c r="J65">
        <f t="shared" si="1"/>
        <v>0.25000000000000122</v>
      </c>
      <c r="K65">
        <f t="shared" si="2"/>
        <v>1.76592011014165E-8</v>
      </c>
    </row>
    <row r="66" spans="6:11" x14ac:dyDescent="0.3">
      <c r="F66">
        <f t="shared" si="3"/>
        <v>0.30000000000000121</v>
      </c>
      <c r="G66">
        <f t="shared" si="0"/>
        <v>0.61791142218895312</v>
      </c>
      <c r="H66" cm="1">
        <f t="array" ref="H66">mynormsdist(F66)</f>
        <v>0.61791140979623471</v>
      </c>
      <c r="J66">
        <f t="shared" si="1"/>
        <v>0.30000000000000121</v>
      </c>
      <c r="K66">
        <f t="shared" si="2"/>
        <v>1.2392718407028269E-8</v>
      </c>
    </row>
    <row r="67" spans="6:11" x14ac:dyDescent="0.3">
      <c r="F67">
        <f t="shared" si="3"/>
        <v>0.3500000000000012</v>
      </c>
      <c r="G67">
        <f t="shared" si="0"/>
        <v>0.63683065117561954</v>
      </c>
      <c r="H67" cm="1">
        <f t="array" ref="H67">mynormsdist(F67)</f>
        <v>0.63683064858060434</v>
      </c>
      <c r="J67">
        <f t="shared" si="1"/>
        <v>0.3500000000000012</v>
      </c>
      <c r="K67">
        <f t="shared" si="2"/>
        <v>2.5950152027220952E-9</v>
      </c>
    </row>
    <row r="68" spans="6:11" x14ac:dyDescent="0.3">
      <c r="F68">
        <f t="shared" si="3"/>
        <v>0.40000000000000119</v>
      </c>
      <c r="G68">
        <f t="shared" si="0"/>
        <v>0.65542174161032463</v>
      </c>
      <c r="H68" cm="1">
        <f t="array" ref="H68">mynormsdist(F68)</f>
        <v>0.65542174944887421</v>
      </c>
      <c r="J68">
        <f t="shared" si="1"/>
        <v>0.40000000000000119</v>
      </c>
      <c r="K68">
        <f t="shared" si="2"/>
        <v>-7.8385495871913236E-9</v>
      </c>
    </row>
    <row r="69" spans="6:11" x14ac:dyDescent="0.3">
      <c r="F69">
        <f t="shared" si="3"/>
        <v>0.45000000000000118</v>
      </c>
      <c r="G69">
        <f t="shared" si="0"/>
        <v>0.67364477971208048</v>
      </c>
      <c r="H69" cm="1">
        <f t="array" ref="H69">mynormsdist(F69)</f>
        <v>0.67364479609060779</v>
      </c>
      <c r="J69">
        <f t="shared" si="1"/>
        <v>0.45000000000000118</v>
      </c>
      <c r="K69">
        <f t="shared" si="2"/>
        <v>-1.6378527312177482E-8</v>
      </c>
    </row>
    <row r="70" spans="6:11" x14ac:dyDescent="0.3">
      <c r="F70">
        <f t="shared" si="3"/>
        <v>0.50000000000000122</v>
      </c>
      <c r="G70">
        <f t="shared" si="0"/>
        <v>0.69146246127401356</v>
      </c>
      <c r="H70" cm="1">
        <f t="array" ref="H70">mynormsdist(F70)</f>
        <v>0.69146248308139813</v>
      </c>
      <c r="J70">
        <f t="shared" si="1"/>
        <v>0.50000000000000122</v>
      </c>
      <c r="K70">
        <f t="shared" si="2"/>
        <v>-2.180738456480924E-8</v>
      </c>
    </row>
    <row r="71" spans="6:11" x14ac:dyDescent="0.3">
      <c r="F71">
        <f t="shared" si="3"/>
        <v>0.55000000000000127</v>
      </c>
      <c r="G71">
        <f t="shared" si="0"/>
        <v>0.70884031321165408</v>
      </c>
      <c r="H71" cm="1">
        <f t="array" ref="H71">mynormsdist(F71)</f>
        <v>0.7088403371138412</v>
      </c>
      <c r="J71">
        <f t="shared" si="1"/>
        <v>0.55000000000000127</v>
      </c>
      <c r="K71">
        <f t="shared" si="2"/>
        <v>-2.3902187118451934E-8</v>
      </c>
    </row>
    <row r="72" spans="6:11" x14ac:dyDescent="0.3">
      <c r="F72">
        <f t="shared" si="3"/>
        <v>0.60000000000000131</v>
      </c>
      <c r="G72">
        <f t="shared" si="0"/>
        <v>0.72574688224992689</v>
      </c>
      <c r="H72" cm="1">
        <f t="array" ref="H72">mynormsdist(F72)</f>
        <v>0.72574690532199893</v>
      </c>
      <c r="J72">
        <f t="shared" si="1"/>
        <v>0.60000000000000131</v>
      </c>
      <c r="K72">
        <f t="shared" si="2"/>
        <v>-2.3072072030672075E-8</v>
      </c>
    </row>
    <row r="73" spans="6:11" x14ac:dyDescent="0.3">
      <c r="F73">
        <f t="shared" si="3"/>
        <v>0.65000000000000135</v>
      </c>
      <c r="G73">
        <f t="shared" si="0"/>
        <v>0.74215388919413572</v>
      </c>
      <c r="H73" cm="1">
        <f t="array" ref="H73">mynormsdist(F73)</f>
        <v>0.74215390924076385</v>
      </c>
      <c r="J73">
        <f t="shared" si="1"/>
        <v>0.65000000000000135</v>
      </c>
      <c r="K73">
        <f t="shared" si="2"/>
        <v>-2.0046628135261813E-8</v>
      </c>
    </row>
    <row r="74" spans="6:11" x14ac:dyDescent="0.3">
      <c r="F74">
        <f t="shared" si="3"/>
        <v>0.7000000000000014</v>
      </c>
      <c r="G74">
        <f t="shared" si="0"/>
        <v>0.75803634777692741</v>
      </c>
      <c r="H74" cm="1">
        <f t="array" ref="H74">mynormsdist(F74)</f>
        <v>0.75803636342332092</v>
      </c>
      <c r="J74">
        <f t="shared" si="1"/>
        <v>0.7000000000000014</v>
      </c>
      <c r="K74">
        <f t="shared" si="2"/>
        <v>-1.5646393514145984E-8</v>
      </c>
    </row>
    <row r="75" spans="6:11" x14ac:dyDescent="0.3">
      <c r="F75">
        <f t="shared" si="3"/>
        <v>0.75000000000000144</v>
      </c>
      <c r="G75">
        <f t="shared" si="0"/>
        <v>0.77337264762313229</v>
      </c>
      <c r="H75" cm="1">
        <f t="array" ref="H75">mynormsdist(F75)</f>
        <v>0.77337265825791013</v>
      </c>
      <c r="J75">
        <f t="shared" si="1"/>
        <v>0.75000000000000144</v>
      </c>
      <c r="K75">
        <f t="shared" si="2"/>
        <v>-1.0634777836138198E-8</v>
      </c>
    </row>
    <row r="76" spans="6:11" x14ac:dyDescent="0.3">
      <c r="F76">
        <f t="shared" si="3"/>
        <v>0.80000000000000149</v>
      </c>
      <c r="G76">
        <f t="shared" si="0"/>
        <v>0.78814460141660381</v>
      </c>
      <c r="H76" cm="1">
        <f t="array" ref="H76">mynormsdist(F76)</f>
        <v>0.78814460705388523</v>
      </c>
      <c r="J76">
        <f t="shared" si="1"/>
        <v>0.80000000000000149</v>
      </c>
      <c r="K76">
        <f t="shared" si="2"/>
        <v>-5.637281419446083E-9</v>
      </c>
    </row>
    <row r="77" spans="6:11" x14ac:dyDescent="0.3">
      <c r="F77">
        <f t="shared" si="3"/>
        <v>0.85000000000000153</v>
      </c>
      <c r="G77">
        <f t="shared" si="0"/>
        <v>0.80233745687730806</v>
      </c>
      <c r="H77" cm="1">
        <f t="array" ref="H77">mynormsdist(F77)</f>
        <v>0.80233745798754519</v>
      </c>
      <c r="J77">
        <f t="shared" si="1"/>
        <v>0.85000000000000153</v>
      </c>
      <c r="K77">
        <f t="shared" si="2"/>
        <v>-1.1102371244575693E-9</v>
      </c>
    </row>
    <row r="78" spans="6:11" x14ac:dyDescent="0.3">
      <c r="F78">
        <f t="shared" si="3"/>
        <v>0.90000000000000158</v>
      </c>
      <c r="G78">
        <f t="shared" si="0"/>
        <v>0.81593987465324092</v>
      </c>
      <c r="H78" cm="1">
        <f t="array" ref="H78">mynormsdist(F78)</f>
        <v>0.81593987199565143</v>
      </c>
      <c r="J78">
        <f t="shared" si="1"/>
        <v>0.90000000000000158</v>
      </c>
      <c r="K78">
        <f t="shared" si="2"/>
        <v>2.6575894818137158E-9</v>
      </c>
    </row>
    <row r="79" spans="6:11" x14ac:dyDescent="0.3">
      <c r="F79">
        <f t="shared" si="3"/>
        <v>0.95000000000000162</v>
      </c>
      <c r="G79">
        <f t="shared" si="0"/>
        <v>0.82894387369151867</v>
      </c>
      <c r="H79" cm="1">
        <f t="array" ref="H79">mynormsdist(F79)</f>
        <v>0.8289438681673581</v>
      </c>
      <c r="J79">
        <f t="shared" si="1"/>
        <v>0.95000000000000162</v>
      </c>
      <c r="K79">
        <f t="shared" si="2"/>
        <v>5.5241605734224208E-9</v>
      </c>
    </row>
    <row r="80" spans="6:11" x14ac:dyDescent="0.3">
      <c r="F80">
        <f t="shared" si="3"/>
        <v>1.0000000000000016</v>
      </c>
      <c r="G80">
        <f t="shared" si="0"/>
        <v>0.84134474606854337</v>
      </c>
      <c r="H80" cm="1">
        <f t="array" ref="H80">mynormsdist(F80)</f>
        <v>0.84134473860432513</v>
      </c>
      <c r="J80">
        <f t="shared" si="1"/>
        <v>1.0000000000000016</v>
      </c>
      <c r="K80">
        <f t="shared" si="2"/>
        <v>7.4642182434914162E-9</v>
      </c>
    </row>
    <row r="81" spans="6:11" x14ac:dyDescent="0.3">
      <c r="F81">
        <f t="shared" si="3"/>
        <v>1.0500000000000016</v>
      </c>
      <c r="G81">
        <f t="shared" si="0"/>
        <v>0.85314094362410442</v>
      </c>
      <c r="H81" cm="1">
        <f t="array" ref="H81">mynormsdist(F81)</f>
        <v>0.85314093508693556</v>
      </c>
      <c r="J81">
        <f t="shared" si="1"/>
        <v>1.0500000000000016</v>
      </c>
      <c r="K81">
        <f t="shared" si="2"/>
        <v>8.5371688607338569E-9</v>
      </c>
    </row>
    <row r="82" spans="6:11" x14ac:dyDescent="0.3">
      <c r="F82">
        <f t="shared" si="3"/>
        <v>1.1000000000000016</v>
      </c>
      <c r="G82">
        <f t="shared" si="0"/>
        <v>0.86433393905361777</v>
      </c>
      <c r="H82" cm="1">
        <f t="array" ref="H82">mynormsdist(F82)</f>
        <v>0.86433393019650284</v>
      </c>
      <c r="J82">
        <f t="shared" si="1"/>
        <v>1.1000000000000016</v>
      </c>
      <c r="K82">
        <f t="shared" si="2"/>
        <v>8.8571149303717789E-9</v>
      </c>
    </row>
    <row r="83" spans="6:11" x14ac:dyDescent="0.3">
      <c r="F83">
        <f t="shared" si="3"/>
        <v>1.1500000000000017</v>
      </c>
      <c r="G83">
        <f t="shared" si="0"/>
        <v>0.87492806436285009</v>
      </c>
      <c r="H83" cm="1">
        <f t="array" ref="H83">mynormsdist(F83)</f>
        <v>0.87492805579547539</v>
      </c>
      <c r="J83">
        <f t="shared" si="1"/>
        <v>1.1500000000000017</v>
      </c>
      <c r="K83">
        <f t="shared" si="2"/>
        <v>8.5673746985648336E-9</v>
      </c>
    </row>
    <row r="84" spans="6:11" x14ac:dyDescent="0.3">
      <c r="F84">
        <f t="shared" si="3"/>
        <v>1.2000000000000017</v>
      </c>
      <c r="G84">
        <f t="shared" si="0"/>
        <v>0.88493032977829211</v>
      </c>
      <c r="H84" cm="1">
        <f t="array" ref="H84">mynormsdist(F84)</f>
        <v>0.88493032195786014</v>
      </c>
      <c r="J84">
        <f t="shared" si="1"/>
        <v>1.2000000000000017</v>
      </c>
      <c r="K84">
        <f t="shared" si="2"/>
        <v>7.8204319686747681E-9</v>
      </c>
    </row>
    <row r="85" spans="6:11" x14ac:dyDescent="0.3">
      <c r="F85">
        <f t="shared" si="3"/>
        <v>1.2500000000000018</v>
      </c>
      <c r="G85">
        <f t="shared" ref="G85:G100" si="4">NORMSDIST(F85)</f>
        <v>0.89435022633314509</v>
      </c>
      <c r="H85" cm="1">
        <f t="array" ref="H85">mynormsdist(F85)</f>
        <v>0.89435021956980676</v>
      </c>
      <c r="J85">
        <f t="shared" ref="J85:J100" si="5">F85</f>
        <v>1.2500000000000018</v>
      </c>
      <c r="K85">
        <f t="shared" ref="K85:K100" si="6">G85-H85</f>
        <v>6.763338333826141E-9</v>
      </c>
    </row>
    <row r="86" spans="6:11" x14ac:dyDescent="0.3">
      <c r="F86">
        <f t="shared" ref="F86:F125" si="7">F85+0.05</f>
        <v>1.3000000000000018</v>
      </c>
      <c r="G86">
        <f t="shared" si="4"/>
        <v>0.90319951541439003</v>
      </c>
      <c r="H86" cm="1">
        <f t="array" ref="H86">mynormsdist(F86)</f>
        <v>0.90319950988634179</v>
      </c>
      <c r="J86">
        <f t="shared" si="5"/>
        <v>1.3000000000000018</v>
      </c>
      <c r="K86">
        <f t="shared" si="6"/>
        <v>5.5280482413877507E-9</v>
      </c>
    </row>
    <row r="87" spans="6:11" x14ac:dyDescent="0.3">
      <c r="F87">
        <f t="shared" si="7"/>
        <v>1.3500000000000019</v>
      </c>
      <c r="G87">
        <f t="shared" si="4"/>
        <v>0.91149200856259827</v>
      </c>
      <c r="H87" cm="1">
        <f t="array" ref="H87">mynormsdist(F87)</f>
        <v>0.91149200433670718</v>
      </c>
      <c r="J87">
        <f t="shared" si="5"/>
        <v>1.3500000000000019</v>
      </c>
      <c r="K87">
        <f t="shared" si="6"/>
        <v>4.2258910815107242E-9</v>
      </c>
    </row>
    <row r="88" spans="6:11" x14ac:dyDescent="0.3">
      <c r="F88">
        <f t="shared" si="7"/>
        <v>1.4000000000000019</v>
      </c>
      <c r="G88">
        <f t="shared" si="4"/>
        <v>0.91924334076622927</v>
      </c>
      <c r="H88" cm="1">
        <f t="array" ref="H88">mynormsdist(F88)</f>
        <v>0.91924333782093792</v>
      </c>
      <c r="J88">
        <f t="shared" si="5"/>
        <v>1.4000000000000019</v>
      </c>
      <c r="K88">
        <f t="shared" si="6"/>
        <v>2.9452913441474493E-9</v>
      </c>
    </row>
    <row r="89" spans="6:11" x14ac:dyDescent="0.3">
      <c r="F89">
        <f t="shared" si="7"/>
        <v>1.450000000000002</v>
      </c>
      <c r="G89">
        <f t="shared" si="4"/>
        <v>0.92647074039035193</v>
      </c>
      <c r="H89" cm="1">
        <f t="array" ref="H89">mynormsdist(F89)</f>
        <v>0.92647073863847562</v>
      </c>
      <c r="J89">
        <f t="shared" si="5"/>
        <v>1.450000000000002</v>
      </c>
      <c r="K89">
        <f t="shared" si="6"/>
        <v>1.7518763106849633E-9</v>
      </c>
    </row>
    <row r="90" spans="6:11" x14ac:dyDescent="0.3">
      <c r="F90">
        <f t="shared" si="7"/>
        <v>1.500000000000002</v>
      </c>
      <c r="G90">
        <f t="shared" si="4"/>
        <v>0.93319279873114225</v>
      </c>
      <c r="H90" cm="1">
        <f t="array" ref="H90">mynormsdist(F90)</f>
        <v>0.93319279804093536</v>
      </c>
      <c r="J90">
        <f t="shared" si="5"/>
        <v>1.500000000000002</v>
      </c>
      <c r="K90">
        <f t="shared" si="6"/>
        <v>6.9020689164034366E-10</v>
      </c>
    </row>
    <row r="91" spans="6:11" x14ac:dyDescent="0.3">
      <c r="F91">
        <f t="shared" si="7"/>
        <v>1.550000000000002</v>
      </c>
      <c r="G91">
        <f t="shared" si="4"/>
        <v>0.93942924199794131</v>
      </c>
      <c r="H91" cm="1">
        <f t="array" ref="H91">mynormsdist(F91)</f>
        <v>0.93942924221145285</v>
      </c>
      <c r="J91">
        <f t="shared" si="5"/>
        <v>1.550000000000002</v>
      </c>
      <c r="K91">
        <f t="shared" si="6"/>
        <v>-2.1351154178006482E-10</v>
      </c>
    </row>
    <row r="92" spans="6:11" x14ac:dyDescent="0.3">
      <c r="F92">
        <f t="shared" si="7"/>
        <v>1.6000000000000021</v>
      </c>
      <c r="G92">
        <f t="shared" si="4"/>
        <v>0.94520070830044223</v>
      </c>
      <c r="H92" cm="1">
        <f t="array" ref="H92">mynormsdist(F92)</f>
        <v>0.94520070924868105</v>
      </c>
      <c r="J92">
        <f t="shared" si="5"/>
        <v>1.6000000000000021</v>
      </c>
      <c r="K92">
        <f t="shared" si="6"/>
        <v>-9.482388207970871E-10</v>
      </c>
    </row>
    <row r="93" spans="6:11" x14ac:dyDescent="0.3">
      <c r="F93">
        <f t="shared" si="7"/>
        <v>1.6500000000000021</v>
      </c>
      <c r="G93">
        <f t="shared" si="4"/>
        <v>0.95052853196635212</v>
      </c>
      <c r="H93" cm="1">
        <f t="array" ref="H93">mynormsdist(F93)</f>
        <v>0.95052853348115851</v>
      </c>
      <c r="J93">
        <f t="shared" si="5"/>
        <v>1.6500000000000021</v>
      </c>
      <c r="K93">
        <f t="shared" si="6"/>
        <v>-1.514806391433865E-9</v>
      </c>
    </row>
    <row r="94" spans="6:11" x14ac:dyDescent="0.3">
      <c r="F94">
        <f t="shared" si="7"/>
        <v>1.7000000000000022</v>
      </c>
      <c r="G94">
        <f t="shared" si="4"/>
        <v>0.95543453724145722</v>
      </c>
      <c r="H94" cm="1">
        <f t="array" ref="H94">mynormsdist(F94)</f>
        <v>0.95543453916424048</v>
      </c>
      <c r="J94">
        <f t="shared" si="5"/>
        <v>1.7000000000000022</v>
      </c>
      <c r="K94">
        <f t="shared" si="6"/>
        <v>-1.9227832659396427E-9</v>
      </c>
    </row>
    <row r="95" spans="6:11" x14ac:dyDescent="0.3">
      <c r="F95">
        <f t="shared" si="7"/>
        <v>1.7500000000000022</v>
      </c>
      <c r="G95">
        <f t="shared" si="4"/>
        <v>0.95994084313618311</v>
      </c>
      <c r="H95" cm="1">
        <f t="array" ref="H95">mynormsdist(F95)</f>
        <v>0.95994084532384827</v>
      </c>
      <c r="J95">
        <f t="shared" si="5"/>
        <v>1.7500000000000022</v>
      </c>
      <c r="K95">
        <f t="shared" si="6"/>
        <v>-2.1876651601360209E-9</v>
      </c>
    </row>
    <row r="96" spans="6:11" x14ac:dyDescent="0.3">
      <c r="F96">
        <f t="shared" si="7"/>
        <v>1.8000000000000023</v>
      </c>
      <c r="G96">
        <f t="shared" si="4"/>
        <v>0.96406968088707434</v>
      </c>
      <c r="H96" cm="1">
        <f t="array" ref="H96">mynormsdist(F96)</f>
        <v>0.9640696832155522</v>
      </c>
      <c r="J96">
        <f t="shared" si="5"/>
        <v>1.8000000000000023</v>
      </c>
      <c r="K96">
        <f t="shared" si="6"/>
        <v>-2.3284778549736984E-9</v>
      </c>
    </row>
    <row r="97" spans="6:11" x14ac:dyDescent="0.3">
      <c r="F97">
        <f t="shared" si="7"/>
        <v>1.8500000000000023</v>
      </c>
      <c r="G97">
        <f t="shared" si="4"/>
        <v>0.96784322520438648</v>
      </c>
      <c r="H97" cm="1">
        <f t="array" ref="H97">mynormsdist(F97)</f>
        <v>0.96784322757021557</v>
      </c>
      <c r="J97">
        <f t="shared" si="5"/>
        <v>1.8500000000000023</v>
      </c>
      <c r="K97">
        <f t="shared" si="6"/>
        <v>-2.3658290881911626E-9</v>
      </c>
    </row>
    <row r="98" spans="6:11" x14ac:dyDescent="0.3">
      <c r="F98">
        <f t="shared" si="7"/>
        <v>1.9000000000000024</v>
      </c>
      <c r="G98">
        <f t="shared" si="4"/>
        <v>0.97128344018399837</v>
      </c>
      <c r="H98" cm="1">
        <f t="array" ref="H98">mynormsdist(F98)</f>
        <v>0.97128344250439946</v>
      </c>
      <c r="J98">
        <f t="shared" si="5"/>
        <v>1.9000000000000024</v>
      </c>
      <c r="K98">
        <f t="shared" si="6"/>
        <v>-2.3204010934918529E-9</v>
      </c>
    </row>
    <row r="99" spans="6:11" x14ac:dyDescent="0.3">
      <c r="F99">
        <f t="shared" si="7"/>
        <v>1.9500000000000024</v>
      </c>
      <c r="G99">
        <f t="shared" si="4"/>
        <v>0.97441194047836155</v>
      </c>
      <c r="H99" cm="1">
        <f t="array" ref="H99">mynormsdist(F99)</f>
        <v>0.97441194269021014</v>
      </c>
      <c r="J99">
        <f t="shared" si="5"/>
        <v>1.9500000000000024</v>
      </c>
      <c r="K99">
        <f t="shared" si="6"/>
        <v>-2.2118485931699183E-9</v>
      </c>
    </row>
    <row r="100" spans="6:11" x14ac:dyDescent="0.3">
      <c r="F100">
        <f t="shared" si="7"/>
        <v>2.0000000000000022</v>
      </c>
      <c r="G100">
        <f t="shared" si="4"/>
        <v>0.9772498680518209</v>
      </c>
      <c r="H100" cm="1">
        <f t="array" ref="H100">mynormsdist(F100)</f>
        <v>0.97724987010987541</v>
      </c>
      <c r="J100">
        <f t="shared" si="5"/>
        <v>2.0000000000000022</v>
      </c>
      <c r="K100">
        <f t="shared" si="6"/>
        <v>-2.0580545045945087E-9</v>
      </c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Matthew F</dc:creator>
  <cp:lastModifiedBy>Matthew F</cp:lastModifiedBy>
  <dcterms:created xsi:type="dcterms:W3CDTF">2022-03-26T06:46:34Z</dcterms:created>
  <dcterms:modified xsi:type="dcterms:W3CDTF">2022-03-26T22:19:51Z</dcterms:modified>
</cp:coreProperties>
</file>